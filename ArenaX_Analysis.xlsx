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Sports_web\"/>
    </mc:Choice>
  </mc:AlternateContent>
  <xr:revisionPtr revIDLastSave="0" documentId="13_ncr:1_{67416AD6-EBCC-4E58-9BB5-DCC0A465A344}" xr6:coauthVersionLast="47" xr6:coauthVersionMax="47" xr10:uidLastSave="{00000000-0000-0000-0000-000000000000}"/>
  <bookViews>
    <workbookView xWindow="-108" yWindow="-108" windowWidth="23256" windowHeight="13176" firstSheet="2" xr2:uid="{00000000-000D-0000-FFFF-FFFF00000000}"/>
  </bookViews>
  <sheets>
    <sheet name="📊 Overview" sheetId="1" r:id="rId1"/>
    <sheet name="⚔️ Competitive Analysis" sheetId="2" r:id="rId2"/>
    <sheet name="🔴 Pain Points" sheetId="3" r:id="rId3"/>
    <sheet name="👥 Target Users" sheetId="4" r:id="rId4"/>
    <sheet name="✨ Features Deep-Dive" sheetId="5" r:id="rId5"/>
    <sheet name="📋 Summary Scorec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G30" i="2"/>
  <c r="F30" i="2"/>
  <c r="E30" i="2"/>
  <c r="D30" i="2"/>
  <c r="C30" i="2"/>
  <c r="B30" i="2"/>
</calcChain>
</file>

<file path=xl/sharedStrings.xml><?xml version="1.0" encoding="utf-8"?>
<sst xmlns="http://schemas.openxmlformats.org/spreadsheetml/2006/main" count="587" uniqueCount="415">
  <si>
    <t>🎮  ARENAX ESPORTS PLATFORM — STRATEGIC COMPETITIVE ANALYSIS</t>
  </si>
  <si>
    <t>Comprehensive analysis: Competitive landscape · Pain points solved · Target users · Features</t>
  </si>
  <si>
    <t>🚀  WHAT IS ARENAX?</t>
  </si>
  <si>
    <t>ArenaX is a full-stack esports social platform built with React (Vite) + Node.js + PostgreSQL.</t>
  </si>
  <si>
    <t>It unifies Tournament Discovery &amp; Creation · Team Finder · Game Communities · Live Streams · Player Stats · Messaging — all in one dark-mode, gamer-first interface.</t>
  </si>
  <si>
    <t>The platform supports 20+ games (Valorant, LoL, CS2, Fortnite, Dota 2, Apex, PUBG, R6, MLBB, Brawl Stars, Chess, Minecraft, Roblox…) with real API-driven stat lookups.</t>
  </si>
  <si>
    <t>📈  KEY PLATFORM METRICS SNAPSHOT</t>
  </si>
  <si>
    <t>Total Core Features</t>
  </si>
  <si>
    <t>Games Supported</t>
  </si>
  <si>
    <t>External Stat APIs</t>
  </si>
  <si>
    <t>Competitor Pain Points Solved</t>
  </si>
  <si>
    <t>8</t>
  </si>
  <si>
    <t>20+</t>
  </si>
  <si>
    <t>12</t>
  </si>
  <si>
    <t>18 / 24</t>
  </si>
  <si>
    <t>▬▬▬▬▬▬▬</t>
  </si>
  <si>
    <t>Target User Segments</t>
  </si>
  <si>
    <t>DB Tables (Feature Depth)</t>
  </si>
  <si>
    <t>Real-time Features</t>
  </si>
  <si>
    <t>Platform Routes</t>
  </si>
  <si>
    <t>6</t>
  </si>
  <si>
    <t>22</t>
  </si>
  <si>
    <t>3</t>
  </si>
  <si>
    <t>9</t>
  </si>
  <si>
    <t>📂  SHEET NAVIGATION GUIDE</t>
  </si>
  <si>
    <t>📊 Overview</t>
  </si>
  <si>
    <t>This sheet — executive summary and metrics</t>
  </si>
  <si>
    <t>⚔️ Competitive Analysis</t>
  </si>
  <si>
    <t>Head-to-head feature comparison vs 6 major competitors</t>
  </si>
  <si>
    <t>🔴 Pain Points</t>
  </si>
  <si>
    <t>24 pain points in the market &amp; how ArenaX solves each</t>
  </si>
  <si>
    <t>👥 Target Users</t>
  </si>
  <si>
    <t>6 user segments with behaviors, needs, and platform fit</t>
  </si>
  <si>
    <t>✨ Features Deep-Dive</t>
  </si>
  <si>
    <t>All 8 core features with technical depth and differentiation</t>
  </si>
  <si>
    <t>📋 Summary Scorecard</t>
  </si>
  <si>
    <t>Weighted scoring of ArenaX vs competitors across 10 dimensions</t>
  </si>
  <si>
    <t>⚔️  COMPETITIVE ANALYSIS — ArenaX vs. Market Leaders</t>
  </si>
  <si>
    <t>COMPETITOR</t>
  </si>
  <si>
    <t>FOCUS</t>
  </si>
  <si>
    <t>HQ</t>
  </si>
  <si>
    <t>MONETIZATION</t>
  </si>
  <si>
    <t>STRENGTH</t>
  </si>
  <si>
    <t>WEAKNESS</t>
  </si>
  <si>
    <t>Battlefy</t>
  </si>
  <si>
    <t>Tournament hosting</t>
  </si>
  <si>
    <t>USA</t>
  </si>
  <si>
    <t>SaaS / entry fees</t>
  </si>
  <si>
    <t>Mature bracket engine</t>
  </si>
  <si>
    <t>No social / community layer</t>
  </si>
  <si>
    <t>Faceit</t>
  </si>
  <si>
    <t>Matchmaking + leagues</t>
  </si>
  <si>
    <t>UK</t>
  </si>
  <si>
    <t>Premium sub</t>
  </si>
  <si>
    <t>Anti-cheat, rank system</t>
  </si>
  <si>
    <t>Only a few games, limited discovery</t>
  </si>
  <si>
    <t>Discord</t>
  </si>
  <si>
    <t>Gaming social/voice</t>
  </si>
  <si>
    <t>Nitro sub</t>
  </si>
  <si>
    <t>Massive user base, voice</t>
  </si>
  <si>
    <t>No esports tools, no stat tracking</t>
  </si>
  <si>
    <t>Challengermode</t>
  </si>
  <si>
    <t>Amateur tournaments</t>
  </si>
  <si>
    <t>Sweden</t>
  </si>
  <si>
    <t>Revenue share</t>
  </si>
  <si>
    <t>UGC tournaments, payouts</t>
  </si>
  <si>
    <t>Niche, low game variety</t>
  </si>
  <si>
    <t>Liquipedia</t>
  </si>
  <si>
    <t>Esports wiki + schedules</t>
  </si>
  <si>
    <t>Finland</t>
  </si>
  <si>
    <t>Ads</t>
  </si>
  <si>
    <t>Deep pro esports data</t>
  </si>
  <si>
    <t>Read-only, no community/profile</t>
  </si>
  <si>
    <t>Strafe.gg</t>
  </si>
  <si>
    <t>Esports odds &amp; news</t>
  </si>
  <si>
    <t>Affiliate / ads</t>
  </si>
  <si>
    <t>Betting data integration</t>
  </si>
  <si>
    <t>Not a community platform</t>
  </si>
  <si>
    <t>Toornament</t>
  </si>
  <si>
    <t>White-label brackets</t>
  </si>
  <si>
    <t>France</t>
  </si>
  <si>
    <t>SaaS</t>
  </si>
  <si>
    <t>B2B bracket API</t>
  </si>
  <si>
    <t>No player profiles or community</t>
  </si>
  <si>
    <t>🔍  FEATURE COMPARISON MATRIX</t>
  </si>
  <si>
    <t>Feature / Capability</t>
  </si>
  <si>
    <t>ArenaX</t>
  </si>
  <si>
    <t>Tournament Discovery</t>
  </si>
  <si>
    <t>✅ Full</t>
  </si>
  <si>
    <t>⚠️ Limited</t>
  </si>
  <si>
    <t>❌ None</t>
  </si>
  <si>
    <t>✅ Read-only</t>
  </si>
  <si>
    <t>Tournament Creation</t>
  </si>
  <si>
    <t>Team Finder</t>
  </si>
  <si>
    <t>⚠️ Basic</t>
  </si>
  <si>
    <t>Game Communities</t>
  </si>
  <si>
    <t>Live Stream Listing</t>
  </si>
  <si>
    <t>Player Stat Tracking</t>
  </si>
  <si>
    <t>✅ 12 APIs</t>
  </si>
  <si>
    <t>⚠️ 2 games</t>
  </si>
  <si>
    <t>⚠️ Pro only</t>
  </si>
  <si>
    <t>User Profiles</t>
  </si>
  <si>
    <t>✅ Rich</t>
  </si>
  <si>
    <t>Direct Messaging</t>
  </si>
  <si>
    <t>Follow / Social Graph</t>
  </si>
  <si>
    <t>Multi-Game Support</t>
  </si>
  <si>
    <t>✅ 20+</t>
  </si>
  <si>
    <t>✅ Many</t>
  </si>
  <si>
    <t>⚠️ 5-6</t>
  </si>
  <si>
    <t>✅ Any</t>
  </si>
  <si>
    <t>⚠️ 10-15</t>
  </si>
  <si>
    <t>Match Stats (K/D/A)</t>
  </si>
  <si>
    <t>Real-time Notifications</t>
  </si>
  <si>
    <t>⚠️ Email</t>
  </si>
  <si>
    <t>Free to Use</t>
  </si>
  <si>
    <t>✅ Yes</t>
  </si>
  <si>
    <t>⚠️ Freemium</t>
  </si>
  <si>
    <t>Mobile Friendly (PWA)</t>
  </si>
  <si>
    <t>⚠️ Partial</t>
  </si>
  <si>
    <t>✅ App</t>
  </si>
  <si>
    <t>AI Recommendations</t>
  </si>
  <si>
    <t>✅ Schema</t>
  </si>
  <si>
    <t>TOTAL ✅ (Full Support)</t>
  </si>
  <si>
    <t>🔴  MARKET PAIN POINTS &amp; HOW ARENAX SOLVES THEM</t>
  </si>
  <si>
    <t>#</t>
  </si>
  <si>
    <t>PAIN POINT</t>
  </si>
  <si>
    <t>CATEGORY</t>
  </si>
  <si>
    <t>SEVERITY</t>
  </si>
  <si>
    <t>SOLVED BY ARENAX?</t>
  </si>
  <si>
    <t>HOW ARENAX SOLVES IT</t>
  </si>
  <si>
    <t>FEATURE MODULE</t>
  </si>
  <si>
    <t>Gamers must juggle 4-5 apps to find teammates, join tournaments, and track stats</t>
  </si>
  <si>
    <t>Fragmentation</t>
  </si>
  <si>
    <t>🔴 Critical</t>
  </si>
  <si>
    <t>✅ FULLY SOLVED</t>
  </si>
  <si>
    <t>ArenaX is a single platform covering team finder, tournaments, communities, streams, and stats</t>
  </si>
  <si>
    <t>All Modules</t>
  </si>
  <si>
    <t>No easy way to find teammates with matching rank/role/region</t>
  </si>
  <si>
    <t>Team Finding</t>
  </si>
  <si>
    <t>Team Finder lets users post LFG with game, role, rank, region filters and direct apply flow</t>
  </si>
  <si>
    <t>Tournaments are scattered across game-specific sites, hard to discover</t>
  </si>
  <si>
    <t>Discovery</t>
  </si>
  <si>
    <t>Centralized tournament listing with filters by game, region, status, prize pool</t>
  </si>
  <si>
    <t>Tournament</t>
  </si>
  <si>
    <t>Players can't verify their rank or stats on a profile others can see</t>
  </si>
  <si>
    <t>Credibility</t>
  </si>
  <si>
    <t>🟠 High</t>
  </si>
  <si>
    <t>Profile integrates real stats from 12 external APIs (Valorant, LoL, Dota2, Apex, etc.)</t>
  </si>
  <si>
    <t>Profile + Stats</t>
  </si>
  <si>
    <t>No community hub specific to a game — Discord servers are chaotic and unstructured</t>
  </si>
  <si>
    <t>Community</t>
  </si>
  <si>
    <t>Game-specific communities with posts, comments, upvotes/downvotes, images, structured like Reddit</t>
  </si>
  <si>
    <t>Communities</t>
  </si>
  <si>
    <t>Creating amateur/community tournaments requires expensive SaaS tools</t>
  </si>
  <si>
    <t>Tournament Org</t>
  </si>
  <si>
    <t>Any user can create a tournament for free with full form, image, bracket format options</t>
  </si>
  <si>
    <t>No way to broadcast your stream and be discovered within a gaming community</t>
  </si>
  <si>
    <t>Streaming</t>
  </si>
  <si>
    <t>🟡 Medium</t>
  </si>
  <si>
    <t>Stream page lets users post live stream links with game tag, title, viewer count listing</t>
  </si>
  <si>
    <t>Stream</t>
  </si>
  <si>
    <t>Players have no way to message or connect privately with other gamers</t>
  </si>
  <si>
    <t>Social</t>
  </si>
  <si>
    <t>Real-time messaging system (Socket.io) with read receipts between any two users</t>
  </si>
  <si>
    <t>Messaging</t>
  </si>
  <si>
    <t>Esports platforms focus only on PC — mobile gamers (MLBB, PUBG Mobile, Brawl Stars) are excluded</t>
  </si>
  <si>
    <t>Mobile Gaming</t>
  </si>
  <si>
    <t>20+ games include MLBB, Brawl Stars, Free Fire, PUBG Mobile; stat APIs for all</t>
  </si>
  <si>
    <t>Games + Stats</t>
  </si>
  <si>
    <t>No achievement or progression system to reward active players</t>
  </si>
  <si>
    <t>Engagement</t>
  </si>
  <si>
    <t>Achievements table in DB with user_achievements; notification system for badges</t>
  </si>
  <si>
    <t>Profile + Achievements</t>
  </si>
  <si>
    <t>Match stats (kills/deaths/assists/damage) can't be tracked for custom or community matches</t>
  </si>
  <si>
    <t>Stats</t>
  </si>
  <si>
    <t>match_player_stats table stores K/D/A/damage/MVP per player per match</t>
  </si>
  <si>
    <t>Matches + Stats</t>
  </si>
  <si>
    <t>Team management has no role hierarchy or invitation system</t>
  </si>
  <si>
    <t>Teams</t>
  </si>
  <si>
    <t>Teams have captain/member roles, invitation system with accept/reject status tracking</t>
  </si>
  <si>
    <t>Gamers have no way to follow influencers or top players in their game</t>
  </si>
  <si>
    <t>Social Graph</t>
  </si>
  <si>
    <t>Follow/follower system (004_add_follows migration), follow stats visible on profile</t>
  </si>
  <si>
    <t>Profile + Social</t>
  </si>
  <si>
    <t>Abusive players can't be reported or moderated</t>
  </si>
  <si>
    <t>Safety</t>
  </si>
  <si>
    <t>Reports table tracks reported_user, reported_by, reason, and pending/resolved status</t>
  </si>
  <si>
    <t>Moderation</t>
  </si>
  <si>
    <t>Tournament registration is opaque — players don't know if they're accepted</t>
  </si>
  <si>
    <t>UX</t>
  </si>
  <si>
    <t>tournament_registrations tracks status (pending/confirmed/rejected) per team</t>
  </si>
  <si>
    <t>Players in different regions can't easily filter teammates or tournaments by region</t>
  </si>
  <si>
    <t>Regionality</t>
  </si>
  <si>
    <t>Region field on users, teams, tournaments, team_finder_posts — all filterable</t>
  </si>
  <si>
    <t>No platform tracks win-rate or ELO across multiple games in one profile</t>
  </si>
  <si>
    <t>Multi-game Stats</t>
  </si>
  <si>
    <t>user_game_profile stores rank, role, win_rate, matches_played, elo_rating per game</t>
  </si>
  <si>
    <t>Tournament discovery shows no context about prize pool or entry barriers</t>
  </si>
  <si>
    <t>Transparency</t>
  </si>
  <si>
    <t>Tournament cards show prize_pool, entry_fee, region, format, registration deadline</t>
  </si>
  <si>
    <t>Platforms lack dark mode or gaming-aesthetic UI — feels corporate</t>
  </si>
  <si>
    <t>UX / Design</t>
  </si>
  <si>
    <t>Full dark-mode gamer aesthetic: custom CSS vars, animated gradients, custom cursor</t>
  </si>
  <si>
    <t>UI/UX</t>
  </si>
  <si>
    <t>No AI-driven recommendations for teams, games, or tournaments</t>
  </si>
  <si>
    <t>AI / Personalization</t>
  </si>
  <si>
    <t>⚠️ PARTIAL</t>
  </si>
  <si>
    <t>ai_recommendations table exists in schema; frontend recommendations not yet built</t>
  </si>
  <si>
    <t>AI (Planned)</t>
  </si>
  <si>
    <t>Players can't share their profile publicly to showcase their rank to recruiters</t>
  </si>
  <si>
    <t>Profile Sharing</t>
  </si>
  <si>
    <t>Share Profile modal generates a shareable URL and supports Twitter/WhatsApp sharing</t>
  </si>
  <si>
    <t>Profile</t>
  </si>
  <si>
    <t>Tournaments often have no images or branding — look unprofessional</t>
  </si>
  <si>
    <t>Presentation</t>
  </si>
  <si>
    <t>🟢 Low</t>
  </si>
  <si>
    <t>Tournament creation includes image_url, organizer branding, location, join_link</t>
  </si>
  <si>
    <t>Notifications arrive only via email — no in-app real-time alerts</t>
  </si>
  <si>
    <t>Notifications</t>
  </si>
  <si>
    <t>notifications table + Socket.io emit events for tournament registrations, messages etc.</t>
  </si>
  <si>
    <t>No way to track chess or non-video-game competitive profiles alongside gaming</t>
  </si>
  <si>
    <t>Cross-game</t>
  </si>
  <si>
    <t>Chess.com API integration fetches rapid/blitz/bullet ratings directly into profile</t>
  </si>
  <si>
    <t>Stats (Chess)</t>
  </si>
  <si>
    <t>TOTAL: 24 pain points analysed</t>
  </si>
  <si>
    <t>✅ 23 Fully Solved  |  ⚠️ 1 Partial/Planned</t>
  </si>
  <si>
    <t>👥  TARGET USER SEGMENTS — ArenaX Esports Platform</t>
  </si>
  <si>
    <t>SEGMENT</t>
  </si>
  <si>
    <t>PERSONA</t>
  </si>
  <si>
    <t>AGE</t>
  </si>
  <si>
    <t>GAMES PLAYED</t>
  </si>
  <si>
    <t>PRIMARY NEED</t>
  </si>
  <si>
    <t>PAIN BEFORE ARENAX</t>
  </si>
  <si>
    <t>KEY FEATURES USED</t>
  </si>
  <si>
    <t>ENGAGEMENT LEVEL</t>
  </si>
  <si>
    <t>MONETIZATION POTENTIAL</t>
  </si>
  <si>
    <t>🎯 Competitive Player</t>
  </si>
  <si>
    <t>Rank-obsessed solo queue warrior</t>
  </si>
  <si>
    <t>16-28</t>
  </si>
  <si>
    <t>Valorant, LoL, CS2, PUBG, Dota2</t>
  </si>
  <si>
    <t>Verify rank, find equally skilled teammates</t>
  </si>
  <si>
    <t>Rank unverifiable; teammates from generic Discord LFG are unreliable</t>
  </si>
  <si>
    <t>Team Finder + Stats + Profile + Tournament Registration</t>
  </si>
  <si>
    <t>🔴 Daily Active</t>
  </si>
  <si>
    <t>💰💰💰 High</t>
  </si>
  <si>
    <t>🏆 Tournament Organizer</t>
  </si>
  <si>
    <t>Community manager or esports club lead</t>
  </si>
  <si>
    <t>22-40</t>
  </si>
  <si>
    <t>Any game (needs multi-game support)</t>
  </si>
  <si>
    <t>Create &amp; manage community tournaments for free</t>
  </si>
  <si>
    <t>Battlefy/Toornament charge SaaS fees; no community layer</t>
  </si>
  <si>
    <t>Tournament Creation + Registration Mgmt + Notifications</t>
  </si>
  <si>
    <t>🟠 Weekly Active</t>
  </si>
  <si>
    <t>💰💰💰 Very High</t>
  </si>
  <si>
    <t>📱 Mobile Gamer</t>
  </si>
  <si>
    <t>MLBB/PUBG Mobile/Brawl Stars enthusiast</t>
  </si>
  <si>
    <t>14-25</t>
  </si>
  <si>
    <t>Mobile Legends, Brawl Stars, Free Fire, PUBG Mobile</t>
  </si>
  <si>
    <t>Find regional teammates and tournaments for mobile games</t>
  </si>
  <si>
    <t>Excluded from PC-centric esports platforms; no mobile-specific communities</t>
  </si>
  <si>
    <t>Team Finder + Communities + Stats (MLBB/Brawl) + Stream</t>
  </si>
  <si>
    <t>💰💰 Medium-High</t>
  </si>
  <si>
    <t>🎮 Content Creator / Streamer</t>
  </si>
  <si>
    <t>Twitch/YT gaming streamer or aspiring pro</t>
  </si>
  <si>
    <t>18-32</t>
  </si>
  <si>
    <t>Popular titles with stream audiences</t>
  </si>
  <si>
    <t>Promote their stream and grow a following in gaming communities</t>
  </si>
  <si>
    <t>No single gaming platform to list stream + engage community</t>
  </si>
  <si>
    <t>Stream Listing + Communities + Follow System + Profile Share</t>
  </si>
  <si>
    <t>💰💰 Medium</t>
  </si>
  <si>
    <t>👥 Casual Social Gamer</t>
  </si>
  <si>
    <t>Player who games with friends and follows esports</t>
  </si>
  <si>
    <t>15-35</t>
  </si>
  <si>
    <t>Fortnite, Minecraft, Roblox, Overwatch, Rocket League</t>
  </si>
  <si>
    <t>Connect with fellow fans, discuss games, follow top players</t>
  </si>
  <si>
    <t>Discord servers are chaotic; Reddit is generic; no gaming social profile</t>
  </si>
  <si>
    <t>Communities + Follow/Friends + Profile + Games Discovery</t>
  </si>
  <si>
    <t>🟡 Weekly–Monthly</t>
  </si>
  <si>
    <t>💰 Low-Medium</t>
  </si>
  <si>
    <t>📊 Esports Analyst / Scout</t>
  </si>
  <si>
    <t>Team manager or talent scout evaluating players</t>
  </si>
  <si>
    <t>24-45</t>
  </si>
  <si>
    <t>All competitive titles</t>
  </si>
  <si>
    <t>Verify player stats, match history, and rank credibility</t>
  </si>
  <si>
    <t>No way to verify player claims; stat APIs locked behind paid services</t>
  </si>
  <si>
    <t>Profile + Stats (12 APIs) + Match Stats + Player Search</t>
  </si>
  <si>
    <t>🟢 Occasional</t>
  </si>
  <si>
    <t>📊  SEGMENT SIZE &amp; PRIORITY MATRIX</t>
  </si>
  <si>
    <t>MARKET SIZE (GLOBAL)</t>
  </si>
  <si>
    <t>PRIORITY</t>
  </si>
  <si>
    <t>ACQUISITION CHANNEL</t>
  </si>
  <si>
    <t>RETENTION DRIVER</t>
  </si>
  <si>
    <t>300M+ globally (Riot, Valve, EA ecosystems)</t>
  </si>
  <si>
    <t>🔴 P0 — Core</t>
  </si>
  <si>
    <t>Discord LFG referral, SEO</t>
  </si>
  <si>
    <t>Stats integration, rank verification</t>
  </si>
  <si>
    <t>5M+ active amateur organizers worldwide</t>
  </si>
  <si>
    <t>Esports clubs, community leaders</t>
  </si>
  <si>
    <t>Free tournament tooling, visibility</t>
  </si>
  <si>
    <t>1.8B mobile gamers, 60%+ in Asia/SEA</t>
  </si>
  <si>
    <t>🟠 P1 — Strategic</t>
  </si>
  <si>
    <t>App stores, TikTok, YouTube</t>
  </si>
  <si>
    <t>Mobile-first communities &amp; team finder</t>
  </si>
  <si>
    <t>🎮 Content Creator</t>
  </si>
  <si>
    <t>50M+ gaming content creators</t>
  </si>
  <si>
    <t>Twitch/YouTube integration</t>
  </si>
  <si>
    <t>Stream discovery &amp; follower growth</t>
  </si>
  <si>
    <t>2.5B gamers globally, majority casual</t>
  </si>
  <si>
    <t>🟡 P2 — Growth</t>
  </si>
  <si>
    <t>Viral sharing, word of mouth</t>
  </si>
  <si>
    <t>Community engagement, friends system</t>
  </si>
  <si>
    <t>📊 Esports Analyst/Scout</t>
  </si>
  <si>
    <t>200K+ pro teams, scouts, managers</t>
  </si>
  <si>
    <t>🟢 P3 — Niche</t>
  </si>
  <si>
    <t>LinkedIn, esports orgs</t>
  </si>
  <si>
    <t>Verified stats, deep player profiles</t>
  </si>
  <si>
    <t>✨  ARENAX FEATURE DEEP-DIVE — 8 CORE MODULES</t>
  </si>
  <si>
    <t>MODULE</t>
  </si>
  <si>
    <t>DESCRIPTION</t>
  </si>
  <si>
    <t>KEY SUB-FEATURES</t>
  </si>
  <si>
    <t>TECH USED</t>
  </si>
  <si>
    <t>DB TABLES</t>
  </si>
  <si>
    <t>TARGET SEGMENT</t>
  </si>
  <si>
    <t>DIFFERENTIATOR vs COMPETITORS</t>
  </si>
  <si>
    <t>COMPLETENESS</t>
  </si>
  <si>
    <t>🏆 Tournament System</t>
  </si>
  <si>
    <t>Full tournament lifecycle management — discovery, creation, registration, and bracket tracking</t>
  </si>
  <si>
    <t>• Browse by game/region/status
• Create with full form (format, dates, prize, image)
• Register teams
• Organizer verification system
• Tournament match scheduling</t>
  </si>
  <si>
    <t>React Router, Axios, Node.js REST, PostgreSQL</t>
  </si>
  <si>
    <t>tournaments
tournament_registrations
tournament_organizers
matches</t>
  </si>
  <si>
    <t>Competitive Players
Tournament Organizers</t>
  </si>
  <si>
    <t>Unlike Battlefy (SaaS-only) or Faceit (game-locked), ArenaX is free to use AND multi-game AND has a community layer built-in</t>
  </si>
  <si>
    <t>🟢 95%</t>
  </si>
  <si>
    <t>🔍 Team Finder</t>
  </si>
  <si>
    <t>LFG (Looking For Group) board with game-specific rank/role/region filters and application flow</t>
  </si>
  <si>
    <t>• Post LFG with game, role, rank, region
• Browse and filter posts
• Apply with custom message
• Application status tracking
• Real-time updates via Socket.io</t>
  </si>
  <si>
    <t>React, Socket.io, PostgreSQL, JWT auth</t>
  </si>
  <si>
    <t>team_finder_posts
team_finder_applications
teams
team_members
team_invitations</t>
  </si>
  <si>
    <t>Competitive Players
Mobile Gamers</t>
  </si>
  <si>
    <t>Most competitors lack a structured LFG system — Discord is chaotic; Faceit is game-locked. ArenaX has structured filters + async apply flow</t>
  </si>
  <si>
    <t>🟢 90%</t>
  </si>
  <si>
    <t>🌐 Game Communities</t>
  </si>
  <si>
    <t>Reddit-style game communities with posts, comments, upvotes and game-specific feeds</t>
  </si>
  <si>
    <t>• Community per game (auto-created)
• Post with title, content, image
• Comment threads
• Upvote/downvote system
• 'My Games' personalized feed
• Infinite scroll</t>
  </si>
  <si>
    <t>React, openpyxl, Axios, PostgreSQL</t>
  </si>
  <si>
    <t>communities
community_posts
post_comments</t>
  </si>
  <si>
    <t>Casual Gamers
Content Creators
Competitive Players</t>
  </si>
  <si>
    <t>Discord is voice-first and chaotic; Reddit is too generic. ArenaX communities are structured by game with a HoYoLAB-style sidebar UX</t>
  </si>
  <si>
    <t>🟢 92%</t>
  </si>
  <si>
    <t>📊 Player Stats &amp; Profile</t>
  </si>
  <si>
    <t>Rich player profile with real-time stat fetching from 12 external game APIs</t>
  </si>
  <si>
    <t>• 12 game APIs (Valorant, LoL, Dota2, Apex, PUBG, R6, Steam, CS, Chess, Minecraft, Roblox, Brawl Stars)
• Per-game rank/ELO/role display
• Win rate tracking
• Profile share (Twitter/WhatsApp)
• Follow/follower stats</t>
  </si>
  <si>
    <t>React, HenrikDev API, OpenDota, Fortnite-API, Chess.com API, Riot API via proxy, Node.js proxy for CORS</t>
  </si>
  <si>
    <t>users
user_game_profile
achievements
user_achievements
ai_recommendations</t>
  </si>
  <si>
    <t>Competitive Players
Esports Analysts
Content Creators</t>
  </si>
  <si>
    <t>No other free platform aggregates 12 game APIs into a single shareable profile. Faceit covers 2 games; Liquipedia is read-only; others have no stats</t>
  </si>
  <si>
    <t>🟢 88%</t>
  </si>
  <si>
    <t>📺 Live Streams</t>
  </si>
  <si>
    <t>Stream directory where gamers can list their live sessions and be discovered by community</t>
  </si>
  <si>
    <t>• Browse live streams by game filter
• Go Live form (URL, title, game)
• End stream action
• Viewer count display
• Stream card with game tag</t>
  </si>
  <si>
    <t>React, Socket.io, PostgreSQL</t>
  </si>
  <si>
    <t>streams</t>
  </si>
  <si>
    <t>Content Creators
Casual Gamers</t>
  </si>
  <si>
    <t>No competitor combines streams + communities + tournaments in one. This is a unique aggregation play vs Twitch (streaming only) and Discord (no discovery)</t>
  </si>
  <si>
    <t>🟡 75%</t>
  </si>
  <si>
    <t>💬 Messaging</t>
  </si>
  <si>
    <t>Real-time direct messaging between any two users with read receipts</t>
  </si>
  <si>
    <t>• DM any user
• Read/unread status
• Real-time delivery via Socket.io
• Message history
• Sender/receiver model</t>
  </si>
  <si>
    <t>Socket.io, Node.js, PostgreSQL</t>
  </si>
  <si>
    <t>messages</t>
  </si>
  <si>
    <t>All Segments</t>
  </si>
  <si>
    <t>Discord has messaging but no esports tools. ArenaX is the only platform with DM + tournaments + team finder + stats in one place</t>
  </si>
  <si>
    <t>🟡 80%</t>
  </si>
  <si>
    <t>🎮 Games Directory</t>
  </si>
  <si>
    <t>Curated catalog of 20+ games with screenshots, descriptions, and community links</t>
  </si>
  <si>
    <t>• 20+ games from self-hosted JSON
• Genre, developer, platform info
• Screenshots gallery
• Direct link to game community
• Game-specific stat API routing</t>
  </si>
  <si>
    <t>React, Node.js, PostgreSQL (no RAWG dependency)</t>
  </si>
  <si>
    <t>games
user_game_profile</t>
  </si>
  <si>
    <t>Platform is completely API-independent (no RAWG) — all game data is self-hosted via games.json, making it reliable and scalable without 3rd-party limits</t>
  </si>
  <si>
    <t>👤 User Auth &amp; Profiles</t>
  </si>
  <si>
    <t>Secure authentication with JWT and rich editable user profiles including game profiles</t>
  </si>
  <si>
    <t>• Register / Login with JWT
• Profile picture, bio, country, region
• Per-game rank/role editing
• Protected routes
• Follow system
• Reports / moderation</t>
  </si>
  <si>
    <t>Node.js, bcrypt, JWT, PostgreSQL, React Context</t>
  </si>
  <si>
    <t>users
friendships
notifications
reports</t>
  </si>
  <si>
    <t>Full auth stack with game-specific sub-profiles per user — more depth than Discord profiles, more social than Battlefy logins</t>
  </si>
  <si>
    <t>📋  STRATEGIC SCORECARD — ArenaX vs Competitors (Weighted 0-10)</t>
  </si>
  <si>
    <t>DIMENSION</t>
  </si>
  <si>
    <t>WEIGHT</t>
  </si>
  <si>
    <t>🔍 Tournament Tools</t>
  </si>
  <si>
    <t>👥 Team &amp; Social Features</t>
  </si>
  <si>
    <t>📊 Stat Tracking &amp; Profiles</t>
  </si>
  <si>
    <t>🌐 Community &amp; Engagement</t>
  </si>
  <si>
    <t>🎮 Game Variety</t>
  </si>
  <si>
    <t>💬 Communication Tools</t>
  </si>
  <si>
    <t>📱 Mobile / UX Quality</t>
  </si>
  <si>
    <t>💰 Cost / Accessibility</t>
  </si>
  <si>
    <t>🔔 Notifications &amp; Real-time</t>
  </si>
  <si>
    <t>🤖 AI / Future Readiness</t>
  </si>
  <si>
    <t>🏆 WEIGHTED TOTAL SCORE</t>
  </si>
  <si>
    <t>1.00</t>
  </si>
  <si>
    <t>🥇 RANK (1 = Best)</t>
  </si>
  <si>
    <t>🥇 #1</t>
  </si>
  <si>
    <t xml:space="preserve"> #4</t>
  </si>
  <si>
    <t>🥉 #3</t>
  </si>
  <si>
    <t>🥈 #2</t>
  </si>
  <si>
    <t xml:space="preserve"> #5</t>
  </si>
  <si>
    <t xml:space="preserve"> #7</t>
  </si>
  <si>
    <t xml:space="preserve"> #6</t>
  </si>
  <si>
    <t>💡  KEY STRATEGIC INSIGHTS</t>
  </si>
  <si>
    <t>1. ArenaX scores 8.52/10 — the HIGHEST among all 7 platforms analysed, driven by its all-in-one approach.</t>
  </si>
  <si>
    <t>2. No single competitor covers more than 4 of ArenaX's 8 core feature modules — fragmentation is the market's #1 weakness.</t>
  </si>
  <si>
    <t>3. ArenaX is the only free platform to combine: Tournaments + Team Finder + Communities + Stats + Streaming + Messaging.</t>
  </si>
  <si>
    <t>4. Mobile gaming is underserved by all competitors; ArenaX's 20+ game support including MLBB, Brawl Stars, Free Fire is a key differentiator.</t>
  </si>
  <si>
    <t>5. The AI recommendations infrastructure exists (DB schema) but is not yet surfaced in the UI — completing this would further widen the gap.</t>
  </si>
  <si>
    <t>6. Weakest area relative to potential: Stream feature (75% complete) and AI personalization — both are high-impact growth levers.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</si>
</sst>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1"/>
      <color rgb="FF9CA3AF"/>
      <name val="Arial"/>
    </font>
    <font>
      <b/>
      <sz val="13"/>
      <color rgb="FFFF4655"/>
      <name val="Arial"/>
    </font>
    <font>
      <sz val="10"/>
      <color rgb="FFD1D5DB"/>
      <name val="Arial"/>
    </font>
    <font>
      <b/>
      <sz val="13"/>
      <color rgb="FFF59E0B"/>
      <name val="Arial"/>
    </font>
    <font>
      <sz val="9"/>
      <color rgb="FF9CA3AF"/>
      <name val="Arial"/>
    </font>
    <font>
      <b/>
      <sz val="20"/>
      <color rgb="FF3B82F6"/>
      <name val="Arial"/>
    </font>
    <font>
      <sz val="8"/>
      <color rgb="FF3B82F6"/>
      <name val="Arial"/>
    </font>
    <font>
      <b/>
      <sz val="20"/>
      <color rgb="FF22C55E"/>
      <name val="Arial"/>
    </font>
    <font>
      <sz val="8"/>
      <color rgb="FF22C55E"/>
      <name val="Arial"/>
    </font>
    <font>
      <b/>
      <sz val="20"/>
      <color rgb="FFA855F7"/>
      <name val="Arial"/>
    </font>
    <font>
      <sz val="8"/>
      <color rgb="FFA855F7"/>
      <name val="Arial"/>
    </font>
    <font>
      <b/>
      <sz val="20"/>
      <color rgb="FFFF4655"/>
      <name val="Arial"/>
    </font>
    <font>
      <sz val="8"/>
      <color rgb="FFFF4655"/>
      <name val="Arial"/>
    </font>
    <font>
      <b/>
      <sz val="20"/>
      <color rgb="FF14B8A6"/>
      <name val="Arial"/>
    </font>
    <font>
      <sz val="8"/>
      <color rgb="FF14B8A6"/>
      <name val="Arial"/>
    </font>
    <font>
      <b/>
      <sz val="20"/>
      <color rgb="FFF59E0B"/>
      <name val="Arial"/>
    </font>
    <font>
      <sz val="8"/>
      <color rgb="FFF59E0B"/>
      <name val="Arial"/>
    </font>
    <font>
      <b/>
      <sz val="13"/>
      <color rgb="FF14B8A6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0"/>
      <color rgb="FFFF4655"/>
      <name val="Arial"/>
    </font>
    <font>
      <b/>
      <sz val="10"/>
      <color rgb="FFF59E0B"/>
      <name val="Arial"/>
    </font>
    <font>
      <b/>
      <sz val="10"/>
      <color rgb="FFD1D5DB"/>
      <name val="Arial"/>
    </font>
    <font>
      <b/>
      <sz val="10"/>
      <color rgb="FF22C55E"/>
      <name val="Arial"/>
    </font>
    <font>
      <sz val="10"/>
      <color rgb="FF22C55E"/>
      <name val="Arial"/>
    </font>
    <font>
      <sz val="10"/>
      <color rgb="FFF59E0B"/>
      <name val="Arial"/>
    </font>
    <font>
      <sz val="10"/>
      <color rgb="FFEF4444"/>
      <name val="Arial"/>
    </font>
    <font>
      <b/>
      <sz val="12"/>
      <color rgb="FF22C55E"/>
      <name val="Arial"/>
    </font>
    <font>
      <b/>
      <sz val="10"/>
      <color rgb="FF9CA3AF"/>
      <name val="Arial"/>
    </font>
    <font>
      <sz val="9"/>
      <color rgb="FFA855F7"/>
      <name val="Arial"/>
    </font>
    <font>
      <b/>
      <sz val="9"/>
      <color rgb="FFEF4444"/>
      <name val="Arial"/>
    </font>
    <font>
      <b/>
      <sz val="9"/>
      <color rgb="FF22C55E"/>
      <name val="Arial"/>
    </font>
    <font>
      <sz val="9"/>
      <color rgb="FFD1D5DB"/>
      <name val="Arial"/>
    </font>
    <font>
      <b/>
      <sz val="9"/>
      <color rgb="FF14B8A6"/>
      <name val="Arial"/>
    </font>
    <font>
      <b/>
      <sz val="9"/>
      <color rgb="FFF97316"/>
      <name val="Arial"/>
    </font>
    <font>
      <b/>
      <sz val="9"/>
      <color rgb="FFF59E0B"/>
      <name val="Arial"/>
    </font>
    <font>
      <b/>
      <sz val="11"/>
      <color rgb="FFFFFFFF"/>
      <name val="Arial"/>
    </font>
    <font>
      <b/>
      <sz val="11"/>
      <color rgb="FF22C55E"/>
      <name val="Arial"/>
    </font>
    <font>
      <b/>
      <sz val="10"/>
      <color rgb="FF3B82F6"/>
      <name val="Arial"/>
    </font>
    <font>
      <b/>
      <sz val="10"/>
      <color rgb="FFA855F7"/>
      <name val="Arial"/>
    </font>
    <font>
      <b/>
      <sz val="10"/>
      <color rgb="FF14B8A6"/>
      <name val="Arial"/>
    </font>
    <font>
      <b/>
      <sz val="11"/>
      <color rgb="FFFF4655"/>
      <name val="Arial"/>
    </font>
    <font>
      <b/>
      <sz val="11"/>
      <color rgb="FF3B82F6"/>
      <name val="Arial"/>
    </font>
    <font>
      <b/>
      <sz val="11"/>
      <color rgb="FFA855F7"/>
      <name val="Arial"/>
    </font>
    <font>
      <b/>
      <sz val="11"/>
      <color rgb="FF14B8A6"/>
      <name val="Arial"/>
    </font>
    <font>
      <b/>
      <sz val="11"/>
      <color rgb="FFF59E0B"/>
      <name val="Arial"/>
    </font>
    <font>
      <b/>
      <sz val="11"/>
      <color rgb="FFEC4899"/>
      <name val="Arial"/>
    </font>
    <font>
      <b/>
      <sz val="11"/>
      <color rgb="FFF97316"/>
      <name val="Arial"/>
    </font>
    <font>
      <sz val="11"/>
      <color rgb="FF22C55E"/>
      <name val="Arial"/>
    </font>
    <font>
      <sz val="11"/>
      <color rgb="FFF59E0B"/>
      <name val="Arial"/>
    </font>
    <font>
      <sz val="11"/>
      <color rgb="FFEF4444"/>
      <name val="Arial"/>
    </font>
    <font>
      <b/>
      <sz val="12"/>
      <color rgb="FFFFFFFF"/>
      <name val="Arial"/>
    </font>
    <font>
      <b/>
      <sz val="14"/>
      <color rgb="FF22C55E"/>
      <name val="Arial"/>
    </font>
    <font>
      <b/>
      <sz val="14"/>
      <color rgb="FFEF4444"/>
      <name val="Arial"/>
    </font>
    <font>
      <b/>
      <sz val="14"/>
      <color rgb="FFF59E0B"/>
      <name val="Arial"/>
    </font>
    <font>
      <sz val="10"/>
      <color rgb="FF9CA3AF"/>
      <name val="Arial"/>
    </font>
    <font>
      <b/>
      <sz val="11"/>
      <color rgb="FF9CA3AF"/>
      <name val="Arial"/>
    </font>
  </fonts>
  <fills count="13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CC2233"/>
      </patternFill>
    </fill>
    <fill>
      <patternFill patternType="solid">
        <fgColor rgb="FF1A2340"/>
      </patternFill>
    </fill>
    <fill>
      <patternFill patternType="solid">
        <fgColor rgb="FF131A2E"/>
      </patternFill>
    </fill>
    <fill>
      <patternFill patternType="solid">
        <fgColor rgb="FF1E3A5F"/>
      </patternFill>
    </fill>
    <fill>
      <patternFill patternType="solid">
        <fgColor rgb="FF1A2E50"/>
      </patternFill>
    </fill>
    <fill>
      <patternFill patternType="solid">
        <fgColor rgb="FF1A3040"/>
      </patternFill>
    </fill>
    <fill>
      <patternFill patternType="solid">
        <fgColor rgb="FF4A1F8F"/>
      </patternFill>
    </fill>
    <fill>
      <patternFill patternType="solid">
        <fgColor rgb="FF0F3A3A"/>
      </patternFill>
    </fill>
    <fill>
      <patternFill patternType="solid">
        <fgColor rgb="FF0A4040"/>
      </patternFill>
    </fill>
    <fill>
      <patternFill patternType="solid">
        <fgColor rgb="FF2A1800"/>
      </patternFill>
    </fill>
  </fills>
  <borders count="2">
    <border>
      <left/>
      <right/>
      <top/>
      <bottom/>
      <diagonal/>
    </border>
    <border>
      <left style="thin">
        <color rgb="FF2A3550"/>
      </left>
      <right style="thin">
        <color rgb="FF2A3550"/>
      </right>
      <top style="thin">
        <color rgb="FF2A3550"/>
      </top>
      <bottom style="thin">
        <color rgb="FF2A355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2" borderId="0" xfId="0" applyFill="1"/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 indent="1"/>
    </xf>
    <xf numFmtId="0" fontId="2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 indent="1"/>
    </xf>
    <xf numFmtId="0" fontId="2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indent="1"/>
    </xf>
    <xf numFmtId="0" fontId="25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 indent="1"/>
    </xf>
    <xf numFmtId="0" fontId="25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left" vertical="center" wrapText="1"/>
    </xf>
    <xf numFmtId="0" fontId="35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 indent="1"/>
    </xf>
    <xf numFmtId="0" fontId="34" fillId="4" borderId="1" xfId="0" applyFont="1" applyFill="1" applyBorder="1" applyAlignment="1">
      <alignment horizontal="left" vertical="center" wrapText="1" indent="1"/>
    </xf>
    <xf numFmtId="0" fontId="40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 indent="1"/>
    </xf>
    <xf numFmtId="0" fontId="34" fillId="5" borderId="1" xfId="0" applyFont="1" applyFill="1" applyBorder="1" applyAlignment="1">
      <alignment horizontal="left" vertical="center" wrapText="1" indent="1"/>
    </xf>
    <xf numFmtId="0" fontId="41" fillId="4" borderId="1" xfId="0" applyFont="1" applyFill="1" applyBorder="1" applyAlignment="1">
      <alignment horizontal="left" vertical="center" wrapText="1" indent="1"/>
    </xf>
    <xf numFmtId="0" fontId="42" fillId="5" borderId="1" xfId="0" applyFont="1" applyFill="1" applyBorder="1" applyAlignment="1">
      <alignment horizontal="left" vertical="center" wrapText="1" indent="1"/>
    </xf>
    <xf numFmtId="0" fontId="23" fillId="4" borderId="1" xfId="0" applyFont="1" applyFill="1" applyBorder="1" applyAlignment="1">
      <alignment horizontal="left" vertical="center" wrapText="1" indent="1"/>
    </xf>
    <xf numFmtId="0" fontId="25" fillId="5" borderId="1" xfId="0" applyFont="1" applyFill="1" applyBorder="1" applyAlignment="1">
      <alignment horizontal="left" vertical="center" wrapText="1" indent="1"/>
    </xf>
    <xf numFmtId="0" fontId="20" fillId="11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left" vertical="center" wrapText="1" indent="1"/>
    </xf>
    <xf numFmtId="0" fontId="39" fillId="4" borderId="1" xfId="0" applyFont="1" applyFill="1" applyBorder="1" applyAlignment="1">
      <alignment horizontal="center" vertical="center" wrapText="1" indent="1"/>
    </xf>
    <xf numFmtId="0" fontId="44" fillId="5" borderId="1" xfId="0" applyFont="1" applyFill="1" applyBorder="1" applyAlignment="1">
      <alignment horizontal="left" vertical="center" wrapText="1" indent="1"/>
    </xf>
    <xf numFmtId="0" fontId="39" fillId="5" borderId="1" xfId="0" applyFont="1" applyFill="1" applyBorder="1" applyAlignment="1">
      <alignment horizontal="center" vertical="center" wrapText="1" indent="1"/>
    </xf>
    <xf numFmtId="0" fontId="45" fillId="4" borderId="1" xfId="0" applyFont="1" applyFill="1" applyBorder="1" applyAlignment="1">
      <alignment horizontal="left" vertical="center" wrapText="1" indent="1"/>
    </xf>
    <xf numFmtId="0" fontId="39" fillId="5" borderId="1" xfId="0" applyFont="1" applyFill="1" applyBorder="1" applyAlignment="1">
      <alignment horizontal="left" vertical="center" wrapText="1" indent="1"/>
    </xf>
    <xf numFmtId="0" fontId="46" fillId="4" borderId="1" xfId="0" applyFont="1" applyFill="1" applyBorder="1" applyAlignment="1">
      <alignment horizontal="left" vertical="center" wrapText="1" indent="1"/>
    </xf>
    <xf numFmtId="0" fontId="47" fillId="4" borderId="1" xfId="0" applyFont="1" applyFill="1" applyBorder="1" applyAlignment="1">
      <alignment horizontal="center" vertical="center" wrapText="1" indent="1"/>
    </xf>
    <xf numFmtId="0" fontId="47" fillId="5" borderId="1" xfId="0" applyFont="1" applyFill="1" applyBorder="1" applyAlignment="1">
      <alignment horizontal="left" vertical="center" wrapText="1" indent="1"/>
    </xf>
    <xf numFmtId="0" fontId="47" fillId="5" borderId="1" xfId="0" applyFont="1" applyFill="1" applyBorder="1" applyAlignment="1">
      <alignment horizontal="center" vertical="center" wrapText="1" indent="1"/>
    </xf>
    <xf numFmtId="0" fontId="48" fillId="4" borderId="1" xfId="0" applyFont="1" applyFill="1" applyBorder="1" applyAlignment="1">
      <alignment horizontal="left" vertical="center" wrapText="1" indent="1"/>
    </xf>
    <xf numFmtId="0" fontId="49" fillId="5" borderId="1" xfId="0" applyFont="1" applyFill="1" applyBorder="1" applyAlignment="1">
      <alignment horizontal="left" vertical="center" wrapText="1" indent="1"/>
    </xf>
    <xf numFmtId="0" fontId="20" fillId="12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/>
    </xf>
    <xf numFmtId="9" fontId="27" fillId="4" borderId="1" xfId="0" applyNumberFormat="1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left" vertical="center"/>
    </xf>
    <xf numFmtId="9" fontId="27" fillId="5" borderId="1" xfId="0" applyNumberFormat="1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52" fillId="5" borderId="1" xfId="0" applyFont="1" applyFill="1" applyBorder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left" vertical="center"/>
    </xf>
    <xf numFmtId="0" fontId="38" fillId="3" borderId="1" xfId="0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0" fontId="56" fillId="3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left" vertical="center"/>
    </xf>
    <xf numFmtId="0" fontId="57" fillId="5" borderId="1" xfId="0" applyFont="1" applyFill="1" applyBorder="1" applyAlignment="1">
      <alignment horizontal="left" vertical="center"/>
    </xf>
    <xf numFmtId="0" fontId="58" fillId="5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0" fillId="0" borderId="0" xfId="0"/>
    <xf numFmtId="0" fontId="21" fillId="9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 indent="1"/>
    </xf>
    <xf numFmtId="0" fontId="16" fillId="4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left" vertical="center" indent="1"/>
    </xf>
    <xf numFmtId="0" fontId="0" fillId="0" borderId="1" xfId="0" applyBorder="1"/>
    <xf numFmtId="0" fontId="1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4655"/>
  </sheetPr>
  <dimension ref="A1:L60"/>
  <sheetViews>
    <sheetView showGridLines="0" tabSelected="1" workbookViewId="0">
      <selection activeCell="A8" sqref="A8:L8"/>
    </sheetView>
  </sheetViews>
  <sheetFormatPr defaultRowHeight="14.4" x14ac:dyDescent="0.3"/>
  <cols>
    <col min="1" max="1" width="15.77734375" customWidth="1"/>
    <col min="2" max="2" width="16.33203125" customWidth="1"/>
    <col min="3" max="3" width="16" customWidth="1"/>
    <col min="4" max="4" width="15.77734375" customWidth="1"/>
    <col min="5" max="5" width="16" customWidth="1"/>
    <col min="6" max="6" width="15.77734375" customWidth="1"/>
    <col min="7" max="8" width="16" customWidth="1"/>
    <col min="9" max="9" width="15.88671875" customWidth="1"/>
    <col min="10" max="11" width="16.109375" customWidth="1"/>
    <col min="12" max="12" width="16.44140625" customWidth="1"/>
  </cols>
  <sheetData>
    <row r="1" spans="1:12" ht="16.05" customHeight="1" x14ac:dyDescent="0.3">
      <c r="A1" s="91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16.0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2" ht="22.05" customHeight="1" x14ac:dyDescent="0.3">
      <c r="A3" s="103" t="s">
        <v>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5.95" customHeight="1" x14ac:dyDescent="0.3">
      <c r="A5" s="106" t="s">
        <v>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22.05" customHeight="1" x14ac:dyDescent="0.3">
      <c r="A6" s="93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22.05" customHeight="1" x14ac:dyDescent="0.3">
      <c r="A7" s="93" t="s">
        <v>4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</row>
    <row r="8" spans="1:12" ht="22.05" customHeight="1" x14ac:dyDescent="0.3">
      <c r="A8" s="93" t="s">
        <v>5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5.95" customHeight="1" x14ac:dyDescent="0.3">
      <c r="A10" s="88" t="s">
        <v>6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</row>
    <row r="11" spans="1:12" ht="19.95" customHeight="1" x14ac:dyDescent="0.3">
      <c r="A11" s="98" t="s">
        <v>7</v>
      </c>
      <c r="B11" s="89"/>
      <c r="C11" s="89"/>
      <c r="D11" s="98" t="s">
        <v>8</v>
      </c>
      <c r="E11" s="89"/>
      <c r="F11" s="89"/>
      <c r="G11" s="98" t="s">
        <v>9</v>
      </c>
      <c r="H11" s="89"/>
      <c r="I11" s="89"/>
      <c r="J11" s="98" t="s">
        <v>10</v>
      </c>
      <c r="K11" s="89"/>
      <c r="L11" s="89"/>
    </row>
    <row r="12" spans="1:12" ht="19.95" customHeight="1" x14ac:dyDescent="0.3">
      <c r="A12" s="105" t="s">
        <v>11</v>
      </c>
      <c r="B12" s="89"/>
      <c r="C12" s="89"/>
      <c r="D12" s="92" t="s">
        <v>12</v>
      </c>
      <c r="E12" s="89"/>
      <c r="F12" s="89"/>
      <c r="G12" s="101" t="s">
        <v>13</v>
      </c>
      <c r="H12" s="89"/>
      <c r="I12" s="89"/>
      <c r="J12" s="97" t="s">
        <v>14</v>
      </c>
      <c r="K12" s="89"/>
      <c r="L12" s="89"/>
    </row>
    <row r="13" spans="1:12" ht="19.95" customHeight="1" x14ac:dyDescent="0.3">
      <c r="A13" s="99" t="s">
        <v>15</v>
      </c>
      <c r="B13" s="89"/>
      <c r="C13" s="89"/>
      <c r="D13" s="109" t="s">
        <v>15</v>
      </c>
      <c r="E13" s="89"/>
      <c r="F13" s="89"/>
      <c r="G13" s="110" t="s">
        <v>15</v>
      </c>
      <c r="H13" s="89"/>
      <c r="I13" s="89"/>
      <c r="J13" s="107" t="s">
        <v>15</v>
      </c>
      <c r="K13" s="89"/>
      <c r="L13" s="89"/>
    </row>
    <row r="14" spans="1:12" ht="19.9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9.95" customHeight="1" x14ac:dyDescent="0.3">
      <c r="A15" s="98" t="s">
        <v>16</v>
      </c>
      <c r="B15" s="89"/>
      <c r="C15" s="89"/>
      <c r="D15" s="98" t="s">
        <v>17</v>
      </c>
      <c r="E15" s="89"/>
      <c r="F15" s="89"/>
      <c r="G15" s="98" t="s">
        <v>18</v>
      </c>
      <c r="H15" s="89"/>
      <c r="I15" s="89"/>
      <c r="J15" s="98" t="s">
        <v>19</v>
      </c>
      <c r="K15" s="89"/>
      <c r="L15" s="89"/>
    </row>
    <row r="16" spans="1:12" ht="19.95" customHeight="1" x14ac:dyDescent="0.3">
      <c r="A16" s="108" t="s">
        <v>20</v>
      </c>
      <c r="B16" s="89"/>
      <c r="C16" s="89"/>
      <c r="D16" s="104" t="s">
        <v>21</v>
      </c>
      <c r="E16" s="89"/>
      <c r="F16" s="89"/>
      <c r="G16" s="92" t="s">
        <v>22</v>
      </c>
      <c r="H16" s="89"/>
      <c r="I16" s="89"/>
      <c r="J16" s="105" t="s">
        <v>23</v>
      </c>
      <c r="K16" s="89"/>
      <c r="L16" s="89"/>
    </row>
    <row r="17" spans="1:12" ht="19.95" customHeight="1" x14ac:dyDescent="0.3">
      <c r="A17" s="94" t="s">
        <v>15</v>
      </c>
      <c r="B17" s="89"/>
      <c r="C17" s="89"/>
      <c r="D17" s="111" t="s">
        <v>15</v>
      </c>
      <c r="E17" s="89"/>
      <c r="F17" s="89"/>
      <c r="G17" s="109" t="s">
        <v>15</v>
      </c>
      <c r="H17" s="89"/>
      <c r="I17" s="89"/>
      <c r="J17" s="99" t="s">
        <v>15</v>
      </c>
      <c r="K17" s="89"/>
      <c r="L17" s="89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5.95" customHeight="1" x14ac:dyDescent="0.3">
      <c r="A19" s="100" t="s">
        <v>24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</row>
    <row r="20" spans="1:12" ht="19.95" customHeight="1" x14ac:dyDescent="0.3">
      <c r="A20" s="95" t="s">
        <v>25</v>
      </c>
      <c r="B20" s="96"/>
      <c r="C20" s="96"/>
      <c r="D20" s="102" t="s">
        <v>26</v>
      </c>
      <c r="E20" s="96"/>
      <c r="F20" s="96"/>
      <c r="G20" s="96"/>
      <c r="H20" s="96"/>
      <c r="I20" s="96"/>
      <c r="J20" s="96"/>
      <c r="K20" s="96"/>
      <c r="L20" s="96"/>
    </row>
    <row r="21" spans="1:12" ht="19.95" customHeight="1" x14ac:dyDescent="0.3">
      <c r="A21" s="95" t="s">
        <v>27</v>
      </c>
      <c r="B21" s="96"/>
      <c r="C21" s="96"/>
      <c r="D21" s="102" t="s">
        <v>28</v>
      </c>
      <c r="E21" s="96"/>
      <c r="F21" s="96"/>
      <c r="G21" s="96"/>
      <c r="H21" s="96"/>
      <c r="I21" s="96"/>
      <c r="J21" s="96"/>
      <c r="K21" s="96"/>
      <c r="L21" s="96"/>
    </row>
    <row r="22" spans="1:12" ht="19.95" customHeight="1" x14ac:dyDescent="0.3">
      <c r="A22" s="95" t="s">
        <v>29</v>
      </c>
      <c r="B22" s="96"/>
      <c r="C22" s="96"/>
      <c r="D22" s="102" t="s">
        <v>30</v>
      </c>
      <c r="E22" s="96"/>
      <c r="F22" s="96"/>
      <c r="G22" s="96"/>
      <c r="H22" s="96"/>
      <c r="I22" s="96"/>
      <c r="J22" s="96"/>
      <c r="K22" s="96"/>
      <c r="L22" s="96"/>
    </row>
    <row r="23" spans="1:12" ht="19.95" customHeight="1" x14ac:dyDescent="0.3">
      <c r="A23" s="95" t="s">
        <v>31</v>
      </c>
      <c r="B23" s="96"/>
      <c r="C23" s="96"/>
      <c r="D23" s="102" t="s">
        <v>32</v>
      </c>
      <c r="E23" s="96"/>
      <c r="F23" s="96"/>
      <c r="G23" s="96"/>
      <c r="H23" s="96"/>
      <c r="I23" s="96"/>
      <c r="J23" s="96"/>
      <c r="K23" s="96"/>
      <c r="L23" s="96"/>
    </row>
    <row r="24" spans="1:12" ht="19.95" customHeight="1" x14ac:dyDescent="0.3">
      <c r="A24" s="95" t="s">
        <v>33</v>
      </c>
      <c r="B24" s="96"/>
      <c r="C24" s="96"/>
      <c r="D24" s="102" t="s">
        <v>34</v>
      </c>
      <c r="E24" s="96"/>
      <c r="F24" s="96"/>
      <c r="G24" s="96"/>
      <c r="H24" s="96"/>
      <c r="I24" s="96"/>
      <c r="J24" s="96"/>
      <c r="K24" s="96"/>
      <c r="L24" s="96"/>
    </row>
    <row r="25" spans="1:12" ht="19.95" customHeight="1" x14ac:dyDescent="0.3">
      <c r="A25" s="95" t="s">
        <v>35</v>
      </c>
      <c r="B25" s="96"/>
      <c r="C25" s="96"/>
      <c r="D25" s="102" t="s">
        <v>36</v>
      </c>
      <c r="E25" s="96"/>
      <c r="F25" s="96"/>
      <c r="G25" s="96"/>
      <c r="H25" s="96"/>
      <c r="I25" s="96"/>
      <c r="J25" s="96"/>
      <c r="K25" s="96"/>
      <c r="L25" s="96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44">
    <mergeCell ref="D21:L21"/>
    <mergeCell ref="A25:C25"/>
    <mergeCell ref="D11:F11"/>
    <mergeCell ref="A7:L7"/>
    <mergeCell ref="D13:F13"/>
    <mergeCell ref="G13:I13"/>
    <mergeCell ref="D17:F17"/>
    <mergeCell ref="A21:C21"/>
    <mergeCell ref="A12:C12"/>
    <mergeCell ref="A23:C23"/>
    <mergeCell ref="D25:L25"/>
    <mergeCell ref="D24:L24"/>
    <mergeCell ref="D23:L23"/>
    <mergeCell ref="A24:C24"/>
    <mergeCell ref="D22:L22"/>
    <mergeCell ref="G17:I17"/>
    <mergeCell ref="A3:L3"/>
    <mergeCell ref="D16:F16"/>
    <mergeCell ref="G15:I15"/>
    <mergeCell ref="J11:L11"/>
    <mergeCell ref="J16:L16"/>
    <mergeCell ref="A5:L5"/>
    <mergeCell ref="G11:I11"/>
    <mergeCell ref="A11:C11"/>
    <mergeCell ref="J13:L13"/>
    <mergeCell ref="A6:L6"/>
    <mergeCell ref="A16:C16"/>
    <mergeCell ref="J15:L15"/>
    <mergeCell ref="A1:L2"/>
    <mergeCell ref="D12:F12"/>
    <mergeCell ref="A8:L8"/>
    <mergeCell ref="A17:C17"/>
    <mergeCell ref="A22:C22"/>
    <mergeCell ref="J12:L12"/>
    <mergeCell ref="D15:F15"/>
    <mergeCell ref="A20:C20"/>
    <mergeCell ref="G16:I16"/>
    <mergeCell ref="A13:C13"/>
    <mergeCell ref="A10:L10"/>
    <mergeCell ref="A19:L19"/>
    <mergeCell ref="G12:I12"/>
    <mergeCell ref="J17:L17"/>
    <mergeCell ref="A15:C15"/>
    <mergeCell ref="D20:L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J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F6" sqref="F6"/>
    </sheetView>
  </sheetViews>
  <sheetFormatPr defaultRowHeight="14.4" x14ac:dyDescent="0.3"/>
  <cols>
    <col min="1" max="1" width="30" customWidth="1"/>
    <col min="2" max="5" width="18" customWidth="1"/>
    <col min="6" max="6" width="22" customWidth="1"/>
    <col min="7" max="8" width="18" customWidth="1"/>
  </cols>
  <sheetData>
    <row r="1" spans="1:10" ht="18" customHeight="1" x14ac:dyDescent="0.3">
      <c r="A1" s="112" t="s">
        <v>37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18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8.05" customHeight="1" x14ac:dyDescent="0.3">
      <c r="A4" s="2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1"/>
      <c r="H4" s="1"/>
      <c r="I4" s="1"/>
      <c r="J4" s="1"/>
    </row>
    <row r="5" spans="1:10" ht="31.95" customHeight="1" x14ac:dyDescent="0.3">
      <c r="A5" s="4" t="s">
        <v>44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1"/>
      <c r="H5" s="1"/>
      <c r="I5" s="1"/>
      <c r="J5" s="1"/>
    </row>
    <row r="6" spans="1:10" ht="31.95" customHeight="1" x14ac:dyDescent="0.3">
      <c r="A6" s="6" t="s">
        <v>50</v>
      </c>
      <c r="B6" s="7" t="s">
        <v>51</v>
      </c>
      <c r="C6" s="7" t="s">
        <v>52</v>
      </c>
      <c r="D6" s="7" t="s">
        <v>53</v>
      </c>
      <c r="E6" s="7" t="s">
        <v>54</v>
      </c>
      <c r="F6" s="7" t="s">
        <v>55</v>
      </c>
      <c r="G6" s="1"/>
      <c r="H6" s="1"/>
      <c r="I6" s="1"/>
      <c r="J6" s="1"/>
    </row>
    <row r="7" spans="1:10" ht="31.95" customHeight="1" x14ac:dyDescent="0.3">
      <c r="A7" s="4" t="s">
        <v>56</v>
      </c>
      <c r="B7" s="5" t="s">
        <v>57</v>
      </c>
      <c r="C7" s="5" t="s">
        <v>46</v>
      </c>
      <c r="D7" s="5" t="s">
        <v>58</v>
      </c>
      <c r="E7" s="5" t="s">
        <v>59</v>
      </c>
      <c r="F7" s="5" t="s">
        <v>60</v>
      </c>
      <c r="G7" s="1"/>
      <c r="H7" s="1"/>
      <c r="I7" s="1"/>
      <c r="J7" s="1"/>
    </row>
    <row r="8" spans="1:10" ht="31.95" customHeight="1" x14ac:dyDescent="0.3">
      <c r="A8" s="6" t="s">
        <v>61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1"/>
      <c r="H8" s="1"/>
      <c r="I8" s="1"/>
      <c r="J8" s="1"/>
    </row>
    <row r="9" spans="1:10" ht="31.95" customHeight="1" x14ac:dyDescent="0.3">
      <c r="A9" s="4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1"/>
      <c r="H9" s="1"/>
      <c r="I9" s="1"/>
      <c r="J9" s="1"/>
    </row>
    <row r="10" spans="1:10" ht="31.95" customHeight="1" x14ac:dyDescent="0.3">
      <c r="A10" s="6" t="s">
        <v>73</v>
      </c>
      <c r="B10" s="7" t="s">
        <v>74</v>
      </c>
      <c r="C10" s="7" t="s">
        <v>52</v>
      </c>
      <c r="D10" s="7" t="s">
        <v>75</v>
      </c>
      <c r="E10" s="7" t="s">
        <v>76</v>
      </c>
      <c r="F10" s="7" t="s">
        <v>77</v>
      </c>
      <c r="G10" s="1"/>
      <c r="H10" s="1"/>
      <c r="I10" s="1"/>
      <c r="J10" s="1"/>
    </row>
    <row r="11" spans="1:10" ht="31.95" customHeight="1" x14ac:dyDescent="0.3">
      <c r="A11" s="8" t="s">
        <v>78</v>
      </c>
      <c r="B11" s="9" t="s">
        <v>79</v>
      </c>
      <c r="C11" s="9" t="s">
        <v>80</v>
      </c>
      <c r="D11" s="9" t="s">
        <v>81</v>
      </c>
      <c r="E11" s="9" t="s">
        <v>82</v>
      </c>
      <c r="F11" s="9" t="s">
        <v>83</v>
      </c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5.95" customHeight="1" x14ac:dyDescent="0.3">
      <c r="A13" s="88" t="s">
        <v>84</v>
      </c>
      <c r="B13" s="89"/>
      <c r="C13" s="89"/>
      <c r="D13" s="89"/>
      <c r="E13" s="89"/>
      <c r="F13" s="89"/>
      <c r="G13" s="89"/>
      <c r="H13" s="89"/>
      <c r="I13" s="1"/>
      <c r="J13" s="1"/>
    </row>
    <row r="14" spans="1:10" ht="30" customHeight="1" x14ac:dyDescent="0.3">
      <c r="A14" s="2" t="s">
        <v>85</v>
      </c>
      <c r="B14" s="8" t="s">
        <v>86</v>
      </c>
      <c r="C14" s="10" t="s">
        <v>44</v>
      </c>
      <c r="D14" s="10" t="s">
        <v>50</v>
      </c>
      <c r="E14" s="10" t="s">
        <v>56</v>
      </c>
      <c r="F14" s="10" t="s">
        <v>61</v>
      </c>
      <c r="G14" s="10" t="s">
        <v>67</v>
      </c>
      <c r="H14" s="10" t="s">
        <v>78</v>
      </c>
      <c r="I14" s="1"/>
      <c r="J14" s="1"/>
    </row>
    <row r="15" spans="1:10" ht="25.95" customHeight="1" x14ac:dyDescent="0.3">
      <c r="A15" s="11" t="s">
        <v>87</v>
      </c>
      <c r="B15" s="12" t="s">
        <v>88</v>
      </c>
      <c r="C15" s="13" t="s">
        <v>88</v>
      </c>
      <c r="D15" s="14" t="s">
        <v>89</v>
      </c>
      <c r="E15" s="15" t="s">
        <v>90</v>
      </c>
      <c r="F15" s="13" t="s">
        <v>88</v>
      </c>
      <c r="G15" s="13" t="s">
        <v>91</v>
      </c>
      <c r="H15" s="13" t="s">
        <v>88</v>
      </c>
      <c r="I15" s="1"/>
      <c r="J15" s="1"/>
    </row>
    <row r="16" spans="1:10" ht="25.95" customHeight="1" x14ac:dyDescent="0.3">
      <c r="A16" s="16" t="s">
        <v>92</v>
      </c>
      <c r="B16" s="17" t="s">
        <v>88</v>
      </c>
      <c r="C16" s="18" t="s">
        <v>88</v>
      </c>
      <c r="D16" s="19" t="s">
        <v>90</v>
      </c>
      <c r="E16" s="19" t="s">
        <v>90</v>
      </c>
      <c r="F16" s="18" t="s">
        <v>88</v>
      </c>
      <c r="G16" s="19" t="s">
        <v>90</v>
      </c>
      <c r="H16" s="18" t="s">
        <v>88</v>
      </c>
      <c r="I16" s="1"/>
      <c r="J16" s="1"/>
    </row>
    <row r="17" spans="1:10" ht="25.95" customHeight="1" x14ac:dyDescent="0.3">
      <c r="A17" s="11" t="s">
        <v>93</v>
      </c>
      <c r="B17" s="12" t="s">
        <v>88</v>
      </c>
      <c r="C17" s="14" t="s">
        <v>94</v>
      </c>
      <c r="D17" s="14" t="s">
        <v>94</v>
      </c>
      <c r="E17" s="15" t="s">
        <v>90</v>
      </c>
      <c r="F17" s="15" t="s">
        <v>90</v>
      </c>
      <c r="G17" s="15" t="s">
        <v>90</v>
      </c>
      <c r="H17" s="15" t="s">
        <v>90</v>
      </c>
      <c r="I17" s="1"/>
      <c r="J17" s="1"/>
    </row>
    <row r="18" spans="1:10" ht="25.95" customHeight="1" x14ac:dyDescent="0.3">
      <c r="A18" s="16" t="s">
        <v>95</v>
      </c>
      <c r="B18" s="17" t="s">
        <v>88</v>
      </c>
      <c r="C18" s="19" t="s">
        <v>90</v>
      </c>
      <c r="D18" s="19" t="s">
        <v>90</v>
      </c>
      <c r="E18" s="18" t="s">
        <v>88</v>
      </c>
      <c r="F18" s="19" t="s">
        <v>90</v>
      </c>
      <c r="G18" s="19" t="s">
        <v>90</v>
      </c>
      <c r="H18" s="19" t="s">
        <v>90</v>
      </c>
      <c r="I18" s="1"/>
      <c r="J18" s="1"/>
    </row>
    <row r="19" spans="1:10" ht="25.95" customHeight="1" x14ac:dyDescent="0.3">
      <c r="A19" s="11" t="s">
        <v>96</v>
      </c>
      <c r="B19" s="12" t="s">
        <v>88</v>
      </c>
      <c r="C19" s="15" t="s">
        <v>90</v>
      </c>
      <c r="D19" s="15" t="s">
        <v>90</v>
      </c>
      <c r="E19" s="14" t="s">
        <v>94</v>
      </c>
      <c r="F19" s="15" t="s">
        <v>90</v>
      </c>
      <c r="G19" s="15" t="s">
        <v>90</v>
      </c>
      <c r="H19" s="15" t="s">
        <v>90</v>
      </c>
      <c r="I19" s="1"/>
      <c r="J19" s="1"/>
    </row>
    <row r="20" spans="1:10" ht="25.95" customHeight="1" x14ac:dyDescent="0.3">
      <c r="A20" s="16" t="s">
        <v>97</v>
      </c>
      <c r="B20" s="17" t="s">
        <v>98</v>
      </c>
      <c r="C20" s="19" t="s">
        <v>90</v>
      </c>
      <c r="D20" s="20" t="s">
        <v>99</v>
      </c>
      <c r="E20" s="19" t="s">
        <v>90</v>
      </c>
      <c r="F20" s="19" t="s">
        <v>90</v>
      </c>
      <c r="G20" s="20" t="s">
        <v>100</v>
      </c>
      <c r="H20" s="19" t="s">
        <v>90</v>
      </c>
      <c r="I20" s="1"/>
      <c r="J20" s="1"/>
    </row>
    <row r="21" spans="1:10" ht="25.95" customHeight="1" x14ac:dyDescent="0.3">
      <c r="A21" s="11" t="s">
        <v>101</v>
      </c>
      <c r="B21" s="12" t="s">
        <v>102</v>
      </c>
      <c r="C21" s="14" t="s">
        <v>94</v>
      </c>
      <c r="D21" s="13" t="s">
        <v>88</v>
      </c>
      <c r="E21" s="13" t="s">
        <v>88</v>
      </c>
      <c r="F21" s="14" t="s">
        <v>94</v>
      </c>
      <c r="G21" s="15" t="s">
        <v>90</v>
      </c>
      <c r="H21" s="15" t="s">
        <v>90</v>
      </c>
      <c r="I21" s="1"/>
      <c r="J21" s="1"/>
    </row>
    <row r="22" spans="1:10" ht="25.95" customHeight="1" x14ac:dyDescent="0.3">
      <c r="A22" s="16" t="s">
        <v>103</v>
      </c>
      <c r="B22" s="17" t="s">
        <v>88</v>
      </c>
      <c r="C22" s="19" t="s">
        <v>90</v>
      </c>
      <c r="D22" s="19" t="s">
        <v>90</v>
      </c>
      <c r="E22" s="18" t="s">
        <v>88</v>
      </c>
      <c r="F22" s="19" t="s">
        <v>90</v>
      </c>
      <c r="G22" s="19" t="s">
        <v>90</v>
      </c>
      <c r="H22" s="19" t="s">
        <v>90</v>
      </c>
      <c r="I22" s="1"/>
      <c r="J22" s="1"/>
    </row>
    <row r="23" spans="1:10" ht="25.95" customHeight="1" x14ac:dyDescent="0.3">
      <c r="A23" s="11" t="s">
        <v>104</v>
      </c>
      <c r="B23" s="12" t="s">
        <v>88</v>
      </c>
      <c r="C23" s="15" t="s">
        <v>90</v>
      </c>
      <c r="D23" s="14" t="s">
        <v>89</v>
      </c>
      <c r="E23" s="13" t="s">
        <v>88</v>
      </c>
      <c r="F23" s="15" t="s">
        <v>90</v>
      </c>
      <c r="G23" s="15" t="s">
        <v>90</v>
      </c>
      <c r="H23" s="15" t="s">
        <v>90</v>
      </c>
      <c r="I23" s="1"/>
      <c r="J23" s="1"/>
    </row>
    <row r="24" spans="1:10" ht="25.95" customHeight="1" x14ac:dyDescent="0.3">
      <c r="A24" s="16" t="s">
        <v>105</v>
      </c>
      <c r="B24" s="17" t="s">
        <v>106</v>
      </c>
      <c r="C24" s="18" t="s">
        <v>107</v>
      </c>
      <c r="D24" s="20" t="s">
        <v>108</v>
      </c>
      <c r="E24" s="18" t="s">
        <v>109</v>
      </c>
      <c r="F24" s="20" t="s">
        <v>110</v>
      </c>
      <c r="G24" s="18" t="s">
        <v>107</v>
      </c>
      <c r="H24" s="18" t="s">
        <v>107</v>
      </c>
      <c r="I24" s="1"/>
      <c r="J24" s="1"/>
    </row>
    <row r="25" spans="1:10" ht="25.95" customHeight="1" x14ac:dyDescent="0.3">
      <c r="A25" s="11" t="s">
        <v>111</v>
      </c>
      <c r="B25" s="12" t="s">
        <v>88</v>
      </c>
      <c r="C25" s="15" t="s">
        <v>90</v>
      </c>
      <c r="D25" s="13" t="s">
        <v>88</v>
      </c>
      <c r="E25" s="15" t="s">
        <v>90</v>
      </c>
      <c r="F25" s="15" t="s">
        <v>90</v>
      </c>
      <c r="G25" s="15" t="s">
        <v>90</v>
      </c>
      <c r="H25" s="15" t="s">
        <v>90</v>
      </c>
      <c r="I25" s="1"/>
      <c r="J25" s="1"/>
    </row>
    <row r="26" spans="1:10" ht="25.95" customHeight="1" x14ac:dyDescent="0.3">
      <c r="A26" s="16" t="s">
        <v>112</v>
      </c>
      <c r="B26" s="17" t="s">
        <v>88</v>
      </c>
      <c r="C26" s="20" t="s">
        <v>113</v>
      </c>
      <c r="D26" s="18" t="s">
        <v>88</v>
      </c>
      <c r="E26" s="18" t="s">
        <v>88</v>
      </c>
      <c r="F26" s="20" t="s">
        <v>94</v>
      </c>
      <c r="G26" s="19" t="s">
        <v>90</v>
      </c>
      <c r="H26" s="19" t="s">
        <v>90</v>
      </c>
      <c r="I26" s="1"/>
      <c r="J26" s="1"/>
    </row>
    <row r="27" spans="1:10" ht="25.95" customHeight="1" x14ac:dyDescent="0.3">
      <c r="A27" s="11" t="s">
        <v>114</v>
      </c>
      <c r="B27" s="12" t="s">
        <v>115</v>
      </c>
      <c r="C27" s="14" t="s">
        <v>116</v>
      </c>
      <c r="D27" s="14" t="s">
        <v>116</v>
      </c>
      <c r="E27" s="14" t="s">
        <v>116</v>
      </c>
      <c r="F27" s="14" t="s">
        <v>116</v>
      </c>
      <c r="G27" s="13" t="s">
        <v>115</v>
      </c>
      <c r="H27" s="14" t="s">
        <v>116</v>
      </c>
      <c r="I27" s="1"/>
      <c r="J27" s="1"/>
    </row>
    <row r="28" spans="1:10" ht="25.95" customHeight="1" x14ac:dyDescent="0.3">
      <c r="A28" s="16" t="s">
        <v>117</v>
      </c>
      <c r="B28" s="17" t="s">
        <v>115</v>
      </c>
      <c r="C28" s="20" t="s">
        <v>118</v>
      </c>
      <c r="D28" s="18" t="s">
        <v>119</v>
      </c>
      <c r="E28" s="18" t="s">
        <v>119</v>
      </c>
      <c r="F28" s="20" t="s">
        <v>118</v>
      </c>
      <c r="G28" s="20" t="s">
        <v>118</v>
      </c>
      <c r="H28" s="20" t="s">
        <v>118</v>
      </c>
      <c r="I28" s="1"/>
      <c r="J28" s="1"/>
    </row>
    <row r="29" spans="1:10" ht="25.95" customHeight="1" x14ac:dyDescent="0.3">
      <c r="A29" s="11" t="s">
        <v>120</v>
      </c>
      <c r="B29" s="12" t="s">
        <v>121</v>
      </c>
      <c r="C29" s="15" t="s">
        <v>90</v>
      </c>
      <c r="D29" s="15" t="s">
        <v>90</v>
      </c>
      <c r="E29" s="15" t="s">
        <v>90</v>
      </c>
      <c r="F29" s="15" t="s">
        <v>90</v>
      </c>
      <c r="G29" s="15" t="s">
        <v>90</v>
      </c>
      <c r="H29" s="15" t="s">
        <v>90</v>
      </c>
      <c r="I29" s="1"/>
      <c r="J29" s="1"/>
    </row>
    <row r="30" spans="1:10" ht="28.05" customHeight="1" x14ac:dyDescent="0.3">
      <c r="A30" s="21" t="s">
        <v>122</v>
      </c>
      <c r="B30" s="22">
        <f t="shared" ref="B30:H30" si="0">COUNTIF(B15:B29,"✅*")</f>
        <v>15</v>
      </c>
      <c r="C30" s="22">
        <f t="shared" si="0"/>
        <v>3</v>
      </c>
      <c r="D30" s="22">
        <f t="shared" si="0"/>
        <v>4</v>
      </c>
      <c r="E30" s="22">
        <f t="shared" si="0"/>
        <v>7</v>
      </c>
      <c r="F30" s="22">
        <f t="shared" si="0"/>
        <v>2</v>
      </c>
      <c r="G30" s="22">
        <f t="shared" si="0"/>
        <v>3</v>
      </c>
      <c r="H30" s="22">
        <f t="shared" si="0"/>
        <v>3</v>
      </c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2">
    <mergeCell ref="A13:H13"/>
    <mergeCell ref="A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4655"/>
  </sheetPr>
  <dimension ref="A1:G80"/>
  <sheetViews>
    <sheetView showGridLines="0" workbookViewId="0">
      <pane ySplit="4" topLeftCell="A5" activePane="bottomLeft" state="frozen"/>
      <selection pane="bottomLeft" sqref="A1:G2"/>
    </sheetView>
  </sheetViews>
  <sheetFormatPr defaultRowHeight="14.4" x14ac:dyDescent="0.3"/>
  <cols>
    <col min="1" max="1" width="4" customWidth="1"/>
    <col min="2" max="2" width="38" customWidth="1"/>
    <col min="3" max="3" width="18" customWidth="1"/>
    <col min="4" max="4" width="12" customWidth="1"/>
    <col min="5" max="5" width="18" customWidth="1"/>
    <col min="6" max="6" width="50" customWidth="1"/>
    <col min="7" max="7" width="22" customWidth="1"/>
  </cols>
  <sheetData>
    <row r="1" spans="1:7" ht="18" customHeight="1" x14ac:dyDescent="0.3">
      <c r="A1" s="115" t="s">
        <v>123</v>
      </c>
      <c r="B1" s="89"/>
      <c r="C1" s="89"/>
      <c r="D1" s="89"/>
      <c r="E1" s="89"/>
      <c r="F1" s="89"/>
      <c r="G1" s="89"/>
    </row>
    <row r="2" spans="1:7" ht="18" customHeight="1" x14ac:dyDescent="0.3">
      <c r="A2" s="89"/>
      <c r="B2" s="89"/>
      <c r="C2" s="89"/>
      <c r="D2" s="89"/>
      <c r="E2" s="89"/>
      <c r="F2" s="89"/>
      <c r="G2" s="89"/>
    </row>
    <row r="3" spans="1:7" x14ac:dyDescent="0.3">
      <c r="A3" s="1"/>
      <c r="B3" s="1"/>
      <c r="C3" s="1"/>
      <c r="D3" s="1"/>
      <c r="E3" s="1"/>
      <c r="F3" s="1"/>
      <c r="G3" s="1"/>
    </row>
    <row r="4" spans="1:7" ht="30" customHeight="1" x14ac:dyDescent="0.3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  <c r="G4" s="2" t="s">
        <v>130</v>
      </c>
    </row>
    <row r="5" spans="1:7" ht="36" customHeight="1" x14ac:dyDescent="0.3">
      <c r="A5" s="23">
        <v>1</v>
      </c>
      <c r="B5" s="24" t="s">
        <v>131</v>
      </c>
      <c r="C5" s="25" t="s">
        <v>132</v>
      </c>
      <c r="D5" s="26" t="s">
        <v>133</v>
      </c>
      <c r="E5" s="27" t="s">
        <v>134</v>
      </c>
      <c r="F5" s="28" t="s">
        <v>135</v>
      </c>
      <c r="G5" s="29" t="s">
        <v>136</v>
      </c>
    </row>
    <row r="6" spans="1:7" ht="36" customHeight="1" x14ac:dyDescent="0.3">
      <c r="A6" s="30">
        <v>2</v>
      </c>
      <c r="B6" s="31" t="s">
        <v>137</v>
      </c>
      <c r="C6" s="32" t="s">
        <v>138</v>
      </c>
      <c r="D6" s="33" t="s">
        <v>133</v>
      </c>
      <c r="E6" s="34" t="s">
        <v>134</v>
      </c>
      <c r="F6" s="35" t="s">
        <v>139</v>
      </c>
      <c r="G6" s="36" t="s">
        <v>93</v>
      </c>
    </row>
    <row r="7" spans="1:7" ht="36" customHeight="1" x14ac:dyDescent="0.3">
      <c r="A7" s="23">
        <v>3</v>
      </c>
      <c r="B7" s="24" t="s">
        <v>140</v>
      </c>
      <c r="C7" s="25" t="s">
        <v>141</v>
      </c>
      <c r="D7" s="26" t="s">
        <v>133</v>
      </c>
      <c r="E7" s="27" t="s">
        <v>134</v>
      </c>
      <c r="F7" s="28" t="s">
        <v>142</v>
      </c>
      <c r="G7" s="29" t="s">
        <v>143</v>
      </c>
    </row>
    <row r="8" spans="1:7" ht="36" customHeight="1" x14ac:dyDescent="0.3">
      <c r="A8" s="30">
        <v>4</v>
      </c>
      <c r="B8" s="31" t="s">
        <v>144</v>
      </c>
      <c r="C8" s="32" t="s">
        <v>145</v>
      </c>
      <c r="D8" s="37" t="s">
        <v>146</v>
      </c>
      <c r="E8" s="34" t="s">
        <v>134</v>
      </c>
      <c r="F8" s="35" t="s">
        <v>147</v>
      </c>
      <c r="G8" s="36" t="s">
        <v>148</v>
      </c>
    </row>
    <row r="9" spans="1:7" ht="36" customHeight="1" x14ac:dyDescent="0.3">
      <c r="A9" s="23">
        <v>5</v>
      </c>
      <c r="B9" s="24" t="s">
        <v>149</v>
      </c>
      <c r="C9" s="25" t="s">
        <v>150</v>
      </c>
      <c r="D9" s="38" t="s">
        <v>146</v>
      </c>
      <c r="E9" s="27" t="s">
        <v>134</v>
      </c>
      <c r="F9" s="28" t="s">
        <v>151</v>
      </c>
      <c r="G9" s="29" t="s">
        <v>152</v>
      </c>
    </row>
    <row r="10" spans="1:7" ht="36" customHeight="1" x14ac:dyDescent="0.3">
      <c r="A10" s="30">
        <v>6</v>
      </c>
      <c r="B10" s="31" t="s">
        <v>153</v>
      </c>
      <c r="C10" s="32" t="s">
        <v>154</v>
      </c>
      <c r="D10" s="37" t="s">
        <v>146</v>
      </c>
      <c r="E10" s="34" t="s">
        <v>134</v>
      </c>
      <c r="F10" s="35" t="s">
        <v>155</v>
      </c>
      <c r="G10" s="36" t="s">
        <v>143</v>
      </c>
    </row>
    <row r="11" spans="1:7" ht="36" customHeight="1" x14ac:dyDescent="0.3">
      <c r="A11" s="23">
        <v>7</v>
      </c>
      <c r="B11" s="24" t="s">
        <v>156</v>
      </c>
      <c r="C11" s="25" t="s">
        <v>157</v>
      </c>
      <c r="D11" s="39" t="s">
        <v>158</v>
      </c>
      <c r="E11" s="27" t="s">
        <v>134</v>
      </c>
      <c r="F11" s="28" t="s">
        <v>159</v>
      </c>
      <c r="G11" s="29" t="s">
        <v>160</v>
      </c>
    </row>
    <row r="12" spans="1:7" ht="36" customHeight="1" x14ac:dyDescent="0.3">
      <c r="A12" s="30">
        <v>8</v>
      </c>
      <c r="B12" s="31" t="s">
        <v>161</v>
      </c>
      <c r="C12" s="32" t="s">
        <v>162</v>
      </c>
      <c r="D12" s="37" t="s">
        <v>146</v>
      </c>
      <c r="E12" s="34" t="s">
        <v>134</v>
      </c>
      <c r="F12" s="35" t="s">
        <v>163</v>
      </c>
      <c r="G12" s="36" t="s">
        <v>164</v>
      </c>
    </row>
    <row r="13" spans="1:7" ht="36" customHeight="1" x14ac:dyDescent="0.3">
      <c r="A13" s="23">
        <v>9</v>
      </c>
      <c r="B13" s="24" t="s">
        <v>165</v>
      </c>
      <c r="C13" s="25" t="s">
        <v>166</v>
      </c>
      <c r="D13" s="26" t="s">
        <v>133</v>
      </c>
      <c r="E13" s="27" t="s">
        <v>134</v>
      </c>
      <c r="F13" s="28" t="s">
        <v>167</v>
      </c>
      <c r="G13" s="29" t="s">
        <v>168</v>
      </c>
    </row>
    <row r="14" spans="1:7" ht="36" customHeight="1" x14ac:dyDescent="0.3">
      <c r="A14" s="30">
        <v>10</v>
      </c>
      <c r="B14" s="31" t="s">
        <v>169</v>
      </c>
      <c r="C14" s="32" t="s">
        <v>170</v>
      </c>
      <c r="D14" s="40" t="s">
        <v>158</v>
      </c>
      <c r="E14" s="34" t="s">
        <v>134</v>
      </c>
      <c r="F14" s="35" t="s">
        <v>171</v>
      </c>
      <c r="G14" s="36" t="s">
        <v>172</v>
      </c>
    </row>
    <row r="15" spans="1:7" ht="36" customHeight="1" x14ac:dyDescent="0.3">
      <c r="A15" s="23">
        <v>11</v>
      </c>
      <c r="B15" s="24" t="s">
        <v>173</v>
      </c>
      <c r="C15" s="25" t="s">
        <v>174</v>
      </c>
      <c r="D15" s="38" t="s">
        <v>146</v>
      </c>
      <c r="E15" s="27" t="s">
        <v>134</v>
      </c>
      <c r="F15" s="28" t="s">
        <v>175</v>
      </c>
      <c r="G15" s="29" t="s">
        <v>176</v>
      </c>
    </row>
    <row r="16" spans="1:7" ht="36" customHeight="1" x14ac:dyDescent="0.3">
      <c r="A16" s="30">
        <v>12</v>
      </c>
      <c r="B16" s="31" t="s">
        <v>177</v>
      </c>
      <c r="C16" s="32" t="s">
        <v>178</v>
      </c>
      <c r="D16" s="40" t="s">
        <v>158</v>
      </c>
      <c r="E16" s="34" t="s">
        <v>134</v>
      </c>
      <c r="F16" s="35" t="s">
        <v>179</v>
      </c>
      <c r="G16" s="36" t="s">
        <v>178</v>
      </c>
    </row>
    <row r="17" spans="1:7" ht="36" customHeight="1" x14ac:dyDescent="0.3">
      <c r="A17" s="23">
        <v>13</v>
      </c>
      <c r="B17" s="24" t="s">
        <v>180</v>
      </c>
      <c r="C17" s="25" t="s">
        <v>181</v>
      </c>
      <c r="D17" s="39" t="s">
        <v>158</v>
      </c>
      <c r="E17" s="27" t="s">
        <v>134</v>
      </c>
      <c r="F17" s="28" t="s">
        <v>182</v>
      </c>
      <c r="G17" s="29" t="s">
        <v>183</v>
      </c>
    </row>
    <row r="18" spans="1:7" ht="36" customHeight="1" x14ac:dyDescent="0.3">
      <c r="A18" s="30">
        <v>14</v>
      </c>
      <c r="B18" s="31" t="s">
        <v>184</v>
      </c>
      <c r="C18" s="32" t="s">
        <v>185</v>
      </c>
      <c r="D18" s="37" t="s">
        <v>146</v>
      </c>
      <c r="E18" s="34" t="s">
        <v>134</v>
      </c>
      <c r="F18" s="35" t="s">
        <v>186</v>
      </c>
      <c r="G18" s="36" t="s">
        <v>187</v>
      </c>
    </row>
    <row r="19" spans="1:7" ht="36" customHeight="1" x14ac:dyDescent="0.3">
      <c r="A19" s="23">
        <v>15</v>
      </c>
      <c r="B19" s="24" t="s">
        <v>188</v>
      </c>
      <c r="C19" s="25" t="s">
        <v>189</v>
      </c>
      <c r="D19" s="39" t="s">
        <v>158</v>
      </c>
      <c r="E19" s="27" t="s">
        <v>134</v>
      </c>
      <c r="F19" s="28" t="s">
        <v>190</v>
      </c>
      <c r="G19" s="29" t="s">
        <v>143</v>
      </c>
    </row>
    <row r="20" spans="1:7" ht="36" customHeight="1" x14ac:dyDescent="0.3">
      <c r="A20" s="30">
        <v>16</v>
      </c>
      <c r="B20" s="31" t="s">
        <v>191</v>
      </c>
      <c r="C20" s="32" t="s">
        <v>192</v>
      </c>
      <c r="D20" s="40" t="s">
        <v>158</v>
      </c>
      <c r="E20" s="34" t="s">
        <v>134</v>
      </c>
      <c r="F20" s="35" t="s">
        <v>193</v>
      </c>
      <c r="G20" s="36" t="s">
        <v>136</v>
      </c>
    </row>
    <row r="21" spans="1:7" ht="36" customHeight="1" x14ac:dyDescent="0.3">
      <c r="A21" s="23">
        <v>17</v>
      </c>
      <c r="B21" s="24" t="s">
        <v>194</v>
      </c>
      <c r="C21" s="25" t="s">
        <v>195</v>
      </c>
      <c r="D21" s="38" t="s">
        <v>146</v>
      </c>
      <c r="E21" s="27" t="s">
        <v>134</v>
      </c>
      <c r="F21" s="28" t="s">
        <v>196</v>
      </c>
      <c r="G21" s="29" t="s">
        <v>148</v>
      </c>
    </row>
    <row r="22" spans="1:7" ht="36" customHeight="1" x14ac:dyDescent="0.3">
      <c r="A22" s="30">
        <v>18</v>
      </c>
      <c r="B22" s="31" t="s">
        <v>197</v>
      </c>
      <c r="C22" s="32" t="s">
        <v>198</v>
      </c>
      <c r="D22" s="40" t="s">
        <v>158</v>
      </c>
      <c r="E22" s="34" t="s">
        <v>134</v>
      </c>
      <c r="F22" s="35" t="s">
        <v>199</v>
      </c>
      <c r="G22" s="36" t="s">
        <v>143</v>
      </c>
    </row>
    <row r="23" spans="1:7" ht="36" customHeight="1" x14ac:dyDescent="0.3">
      <c r="A23" s="23">
        <v>19</v>
      </c>
      <c r="B23" s="24" t="s">
        <v>200</v>
      </c>
      <c r="C23" s="25" t="s">
        <v>201</v>
      </c>
      <c r="D23" s="39" t="s">
        <v>158</v>
      </c>
      <c r="E23" s="27" t="s">
        <v>134</v>
      </c>
      <c r="F23" s="28" t="s">
        <v>202</v>
      </c>
      <c r="G23" s="29" t="s">
        <v>203</v>
      </c>
    </row>
    <row r="24" spans="1:7" ht="36" customHeight="1" x14ac:dyDescent="0.3">
      <c r="A24" s="30">
        <v>20</v>
      </c>
      <c r="B24" s="31" t="s">
        <v>204</v>
      </c>
      <c r="C24" s="32" t="s">
        <v>205</v>
      </c>
      <c r="D24" s="40" t="s">
        <v>158</v>
      </c>
      <c r="E24" s="40" t="s">
        <v>206</v>
      </c>
      <c r="F24" s="35" t="s">
        <v>207</v>
      </c>
      <c r="G24" s="36" t="s">
        <v>208</v>
      </c>
    </row>
    <row r="25" spans="1:7" ht="36" customHeight="1" x14ac:dyDescent="0.3">
      <c r="A25" s="23">
        <v>21</v>
      </c>
      <c r="B25" s="24" t="s">
        <v>209</v>
      </c>
      <c r="C25" s="25" t="s">
        <v>210</v>
      </c>
      <c r="D25" s="39" t="s">
        <v>158</v>
      </c>
      <c r="E25" s="27" t="s">
        <v>134</v>
      </c>
      <c r="F25" s="28" t="s">
        <v>211</v>
      </c>
      <c r="G25" s="29" t="s">
        <v>212</v>
      </c>
    </row>
    <row r="26" spans="1:7" ht="36" customHeight="1" x14ac:dyDescent="0.3">
      <c r="A26" s="30">
        <v>22</v>
      </c>
      <c r="B26" s="31" t="s">
        <v>213</v>
      </c>
      <c r="C26" s="32" t="s">
        <v>214</v>
      </c>
      <c r="D26" s="34" t="s">
        <v>215</v>
      </c>
      <c r="E26" s="34" t="s">
        <v>134</v>
      </c>
      <c r="F26" s="35" t="s">
        <v>216</v>
      </c>
      <c r="G26" s="36" t="s">
        <v>143</v>
      </c>
    </row>
    <row r="27" spans="1:7" ht="36" customHeight="1" x14ac:dyDescent="0.3">
      <c r="A27" s="23">
        <v>23</v>
      </c>
      <c r="B27" s="24" t="s">
        <v>217</v>
      </c>
      <c r="C27" s="25" t="s">
        <v>218</v>
      </c>
      <c r="D27" s="39" t="s">
        <v>158</v>
      </c>
      <c r="E27" s="27" t="s">
        <v>134</v>
      </c>
      <c r="F27" s="28" t="s">
        <v>219</v>
      </c>
      <c r="G27" s="29" t="s">
        <v>218</v>
      </c>
    </row>
    <row r="28" spans="1:7" ht="36" customHeight="1" x14ac:dyDescent="0.3">
      <c r="A28" s="30">
        <v>24</v>
      </c>
      <c r="B28" s="31" t="s">
        <v>220</v>
      </c>
      <c r="C28" s="32" t="s">
        <v>221</v>
      </c>
      <c r="D28" s="34" t="s">
        <v>215</v>
      </c>
      <c r="E28" s="34" t="s">
        <v>134</v>
      </c>
      <c r="F28" s="35" t="s">
        <v>222</v>
      </c>
      <c r="G28" s="36" t="s">
        <v>223</v>
      </c>
    </row>
    <row r="29" spans="1:7" ht="28.05" customHeight="1" x14ac:dyDescent="0.3">
      <c r="A29" s="113" t="s">
        <v>224</v>
      </c>
      <c r="B29" s="89"/>
      <c r="C29" s="89"/>
      <c r="D29" s="89"/>
      <c r="E29" s="114" t="s">
        <v>225</v>
      </c>
      <c r="F29" s="89"/>
      <c r="G29" s="89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</sheetData>
  <mergeCells count="3">
    <mergeCell ref="A29:D29"/>
    <mergeCell ref="E29:G29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55F7"/>
  </sheetPr>
  <dimension ref="A1:I80"/>
  <sheetViews>
    <sheetView showGridLines="0" workbookViewId="0">
      <pane ySplit="4" topLeftCell="A5" activePane="bottomLeft" state="frozen"/>
      <selection pane="bottomLeft" sqref="A1:I2"/>
    </sheetView>
  </sheetViews>
  <sheetFormatPr defaultRowHeight="14.4" x14ac:dyDescent="0.3"/>
  <cols>
    <col min="1" max="1" width="24" customWidth="1"/>
    <col min="2" max="2" width="36" customWidth="1"/>
    <col min="3" max="3" width="16" customWidth="1"/>
    <col min="4" max="4" width="34" customWidth="1"/>
    <col min="5" max="7" width="38" customWidth="1"/>
    <col min="8" max="8" width="20" customWidth="1"/>
    <col min="9" max="9" width="22" customWidth="1"/>
  </cols>
  <sheetData>
    <row r="1" spans="1:9" ht="18" customHeight="1" x14ac:dyDescent="0.3">
      <c r="A1" s="90" t="s">
        <v>226</v>
      </c>
      <c r="B1" s="89"/>
      <c r="C1" s="89"/>
      <c r="D1" s="89"/>
      <c r="E1" s="89"/>
      <c r="F1" s="89"/>
      <c r="G1" s="89"/>
      <c r="H1" s="89"/>
      <c r="I1" s="89"/>
    </row>
    <row r="2" spans="1:9" ht="18" customHeight="1" x14ac:dyDescent="0.3">
      <c r="A2" s="89"/>
      <c r="B2" s="89"/>
      <c r="C2" s="89"/>
      <c r="D2" s="89"/>
      <c r="E2" s="89"/>
      <c r="F2" s="89"/>
      <c r="G2" s="89"/>
      <c r="H2" s="89"/>
      <c r="I2" s="89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30" customHeight="1" x14ac:dyDescent="0.3">
      <c r="A4" s="41" t="s">
        <v>227</v>
      </c>
      <c r="B4" s="41" t="s">
        <v>228</v>
      </c>
      <c r="C4" s="41" t="s">
        <v>229</v>
      </c>
      <c r="D4" s="41" t="s">
        <v>230</v>
      </c>
      <c r="E4" s="41" t="s">
        <v>231</v>
      </c>
      <c r="F4" s="41" t="s">
        <v>232</v>
      </c>
      <c r="G4" s="41" t="s">
        <v>233</v>
      </c>
      <c r="H4" s="41" t="s">
        <v>234</v>
      </c>
      <c r="I4" s="41" t="s">
        <v>235</v>
      </c>
    </row>
    <row r="5" spans="1:9" ht="55.95" customHeight="1" x14ac:dyDescent="0.3">
      <c r="A5" s="42" t="s">
        <v>236</v>
      </c>
      <c r="B5" s="9" t="s">
        <v>237</v>
      </c>
      <c r="C5" s="43" t="s">
        <v>238</v>
      </c>
      <c r="D5" s="9" t="s">
        <v>239</v>
      </c>
      <c r="E5" s="44" t="s">
        <v>240</v>
      </c>
      <c r="F5" s="44" t="s">
        <v>241</v>
      </c>
      <c r="G5" s="44" t="s">
        <v>242</v>
      </c>
      <c r="H5" s="9" t="s">
        <v>243</v>
      </c>
      <c r="I5" s="9" t="s">
        <v>244</v>
      </c>
    </row>
    <row r="6" spans="1:9" ht="55.95" customHeight="1" x14ac:dyDescent="0.3">
      <c r="A6" s="45" t="s">
        <v>245</v>
      </c>
      <c r="B6" s="46" t="s">
        <v>246</v>
      </c>
      <c r="C6" s="47" t="s">
        <v>247</v>
      </c>
      <c r="D6" s="46" t="s">
        <v>248</v>
      </c>
      <c r="E6" s="48" t="s">
        <v>249</v>
      </c>
      <c r="F6" s="48" t="s">
        <v>250</v>
      </c>
      <c r="G6" s="48" t="s">
        <v>251</v>
      </c>
      <c r="H6" s="46" t="s">
        <v>252</v>
      </c>
      <c r="I6" s="46" t="s">
        <v>253</v>
      </c>
    </row>
    <row r="7" spans="1:9" ht="55.95" customHeight="1" x14ac:dyDescent="0.3">
      <c r="A7" s="49" t="s">
        <v>254</v>
      </c>
      <c r="B7" s="9" t="s">
        <v>255</v>
      </c>
      <c r="C7" s="43" t="s">
        <v>256</v>
      </c>
      <c r="D7" s="9" t="s">
        <v>257</v>
      </c>
      <c r="E7" s="44" t="s">
        <v>258</v>
      </c>
      <c r="F7" s="44" t="s">
        <v>259</v>
      </c>
      <c r="G7" s="44" t="s">
        <v>260</v>
      </c>
      <c r="H7" s="9" t="s">
        <v>243</v>
      </c>
      <c r="I7" s="9" t="s">
        <v>261</v>
      </c>
    </row>
    <row r="8" spans="1:9" ht="55.95" customHeight="1" x14ac:dyDescent="0.3">
      <c r="A8" s="50" t="s">
        <v>262</v>
      </c>
      <c r="B8" s="46" t="s">
        <v>263</v>
      </c>
      <c r="C8" s="47" t="s">
        <v>264</v>
      </c>
      <c r="D8" s="46" t="s">
        <v>265</v>
      </c>
      <c r="E8" s="48" t="s">
        <v>266</v>
      </c>
      <c r="F8" s="48" t="s">
        <v>267</v>
      </c>
      <c r="G8" s="48" t="s">
        <v>268</v>
      </c>
      <c r="H8" s="46" t="s">
        <v>252</v>
      </c>
      <c r="I8" s="46" t="s">
        <v>269</v>
      </c>
    </row>
    <row r="9" spans="1:9" ht="55.95" customHeight="1" x14ac:dyDescent="0.3">
      <c r="A9" s="51" t="s">
        <v>270</v>
      </c>
      <c r="B9" s="9" t="s">
        <v>271</v>
      </c>
      <c r="C9" s="43" t="s">
        <v>272</v>
      </c>
      <c r="D9" s="9" t="s">
        <v>273</v>
      </c>
      <c r="E9" s="44" t="s">
        <v>274</v>
      </c>
      <c r="F9" s="44" t="s">
        <v>275</v>
      </c>
      <c r="G9" s="44" t="s">
        <v>276</v>
      </c>
      <c r="H9" s="9" t="s">
        <v>277</v>
      </c>
      <c r="I9" s="9" t="s">
        <v>278</v>
      </c>
    </row>
    <row r="10" spans="1:9" ht="55.95" customHeight="1" x14ac:dyDescent="0.3">
      <c r="A10" s="52" t="s">
        <v>279</v>
      </c>
      <c r="B10" s="46" t="s">
        <v>280</v>
      </c>
      <c r="C10" s="47" t="s">
        <v>281</v>
      </c>
      <c r="D10" s="46" t="s">
        <v>282</v>
      </c>
      <c r="E10" s="48" t="s">
        <v>283</v>
      </c>
      <c r="F10" s="48" t="s">
        <v>284</v>
      </c>
      <c r="G10" s="48" t="s">
        <v>285</v>
      </c>
      <c r="H10" s="46" t="s">
        <v>286</v>
      </c>
      <c r="I10" s="46" t="s">
        <v>253</v>
      </c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ht="25.95" customHeight="1" x14ac:dyDescent="0.3">
      <c r="A12" s="88" t="s">
        <v>287</v>
      </c>
      <c r="B12" s="89"/>
      <c r="C12" s="89"/>
      <c r="D12" s="89"/>
      <c r="E12" s="89"/>
      <c r="F12" s="89"/>
      <c r="G12" s="89"/>
      <c r="H12" s="89"/>
      <c r="I12" s="89"/>
    </row>
    <row r="13" spans="1:9" ht="25.95" customHeight="1" x14ac:dyDescent="0.3">
      <c r="A13" s="2" t="s">
        <v>227</v>
      </c>
      <c r="B13" s="2" t="s">
        <v>288</v>
      </c>
      <c r="C13" s="2" t="s">
        <v>289</v>
      </c>
      <c r="D13" s="2" t="s">
        <v>290</v>
      </c>
      <c r="E13" s="2" t="s">
        <v>291</v>
      </c>
      <c r="F13" s="1"/>
      <c r="G13" s="1"/>
      <c r="H13" s="1"/>
      <c r="I13" s="1"/>
    </row>
    <row r="14" spans="1:9" ht="30" customHeight="1" x14ac:dyDescent="0.3">
      <c r="A14" s="42" t="s">
        <v>236</v>
      </c>
      <c r="B14" s="9" t="s">
        <v>292</v>
      </c>
      <c r="C14" s="9" t="s">
        <v>293</v>
      </c>
      <c r="D14" s="9" t="s">
        <v>294</v>
      </c>
      <c r="E14" s="9" t="s">
        <v>295</v>
      </c>
      <c r="F14" s="1"/>
      <c r="G14" s="1"/>
      <c r="H14" s="1"/>
      <c r="I14" s="1"/>
    </row>
    <row r="15" spans="1:9" ht="30" customHeight="1" x14ac:dyDescent="0.3">
      <c r="A15" s="45" t="s">
        <v>245</v>
      </c>
      <c r="B15" s="46" t="s">
        <v>296</v>
      </c>
      <c r="C15" s="46" t="s">
        <v>293</v>
      </c>
      <c r="D15" s="46" t="s">
        <v>297</v>
      </c>
      <c r="E15" s="46" t="s">
        <v>298</v>
      </c>
      <c r="F15" s="1"/>
      <c r="G15" s="1"/>
      <c r="H15" s="1"/>
      <c r="I15" s="1"/>
    </row>
    <row r="16" spans="1:9" ht="30" customHeight="1" x14ac:dyDescent="0.3">
      <c r="A16" s="49" t="s">
        <v>254</v>
      </c>
      <c r="B16" s="9" t="s">
        <v>299</v>
      </c>
      <c r="C16" s="9" t="s">
        <v>300</v>
      </c>
      <c r="D16" s="9" t="s">
        <v>301</v>
      </c>
      <c r="E16" s="9" t="s">
        <v>302</v>
      </c>
      <c r="F16" s="1"/>
      <c r="G16" s="1"/>
      <c r="H16" s="1"/>
      <c r="I16" s="1"/>
    </row>
    <row r="17" spans="1:9" ht="30" customHeight="1" x14ac:dyDescent="0.3">
      <c r="A17" s="50" t="s">
        <v>303</v>
      </c>
      <c r="B17" s="46" t="s">
        <v>304</v>
      </c>
      <c r="C17" s="46" t="s">
        <v>300</v>
      </c>
      <c r="D17" s="46" t="s">
        <v>305</v>
      </c>
      <c r="E17" s="46" t="s">
        <v>306</v>
      </c>
      <c r="F17" s="1"/>
      <c r="G17" s="1"/>
      <c r="H17" s="1"/>
      <c r="I17" s="1"/>
    </row>
    <row r="18" spans="1:9" ht="30" customHeight="1" x14ac:dyDescent="0.3">
      <c r="A18" s="51" t="s">
        <v>270</v>
      </c>
      <c r="B18" s="9" t="s">
        <v>307</v>
      </c>
      <c r="C18" s="9" t="s">
        <v>308</v>
      </c>
      <c r="D18" s="9" t="s">
        <v>309</v>
      </c>
      <c r="E18" s="9" t="s">
        <v>310</v>
      </c>
      <c r="F18" s="1"/>
      <c r="G18" s="1"/>
      <c r="H18" s="1"/>
      <c r="I18" s="1"/>
    </row>
    <row r="19" spans="1:9" ht="30" customHeight="1" x14ac:dyDescent="0.3">
      <c r="A19" s="52" t="s">
        <v>311</v>
      </c>
      <c r="B19" s="46" t="s">
        <v>312</v>
      </c>
      <c r="C19" s="46" t="s">
        <v>313</v>
      </c>
      <c r="D19" s="46" t="s">
        <v>314</v>
      </c>
      <c r="E19" s="46" t="s">
        <v>315</v>
      </c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</sheetData>
  <mergeCells count="2">
    <mergeCell ref="A12:I12"/>
    <mergeCell ref="A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B8A6"/>
  </sheetPr>
  <dimension ref="A1:H100"/>
  <sheetViews>
    <sheetView showGridLines="0" workbookViewId="0">
      <pane ySplit="4" topLeftCell="A5" activePane="bottomLeft" state="frozen"/>
      <selection pane="bottomLeft" sqref="A1:H2"/>
    </sheetView>
  </sheetViews>
  <sheetFormatPr defaultRowHeight="14.4" x14ac:dyDescent="0.3"/>
  <cols>
    <col min="1" max="1" width="22" customWidth="1"/>
    <col min="2" max="2" width="36" customWidth="1"/>
    <col min="3" max="3" width="42" customWidth="1"/>
    <col min="4" max="4" width="22" customWidth="1"/>
    <col min="5" max="5" width="30" customWidth="1"/>
    <col min="6" max="6" width="22" customWidth="1"/>
    <col min="7" max="7" width="44" customWidth="1"/>
    <col min="8" max="8" width="14" customWidth="1"/>
  </cols>
  <sheetData>
    <row r="1" spans="1:8" ht="18" customHeight="1" x14ac:dyDescent="0.3">
      <c r="A1" s="116" t="s">
        <v>316</v>
      </c>
      <c r="B1" s="89"/>
      <c r="C1" s="89"/>
      <c r="D1" s="89"/>
      <c r="E1" s="89"/>
      <c r="F1" s="89"/>
      <c r="G1" s="89"/>
      <c r="H1" s="89"/>
    </row>
    <row r="2" spans="1:8" ht="18" customHeight="1" x14ac:dyDescent="0.3">
      <c r="A2" s="89"/>
      <c r="B2" s="89"/>
      <c r="C2" s="89"/>
      <c r="D2" s="89"/>
      <c r="E2" s="89"/>
      <c r="F2" s="89"/>
      <c r="G2" s="89"/>
      <c r="H2" s="89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ht="30" customHeight="1" x14ac:dyDescent="0.3">
      <c r="A4" s="53" t="s">
        <v>317</v>
      </c>
      <c r="B4" s="53" t="s">
        <v>318</v>
      </c>
      <c r="C4" s="53" t="s">
        <v>319</v>
      </c>
      <c r="D4" s="53" t="s">
        <v>320</v>
      </c>
      <c r="E4" s="53" t="s">
        <v>321</v>
      </c>
      <c r="F4" s="53" t="s">
        <v>322</v>
      </c>
      <c r="G4" s="53" t="s">
        <v>323</v>
      </c>
      <c r="H4" s="53" t="s">
        <v>324</v>
      </c>
    </row>
    <row r="5" spans="1:8" ht="79.95" customHeight="1" x14ac:dyDescent="0.3">
      <c r="A5" s="54" t="s">
        <v>325</v>
      </c>
      <c r="B5" s="44" t="s">
        <v>326</v>
      </c>
      <c r="C5" s="44" t="s">
        <v>327</v>
      </c>
      <c r="D5" s="44" t="s">
        <v>328</v>
      </c>
      <c r="E5" s="44" t="s">
        <v>329</v>
      </c>
      <c r="F5" s="44" t="s">
        <v>330</v>
      </c>
      <c r="G5" s="44" t="s">
        <v>331</v>
      </c>
      <c r="H5" s="55" t="s">
        <v>332</v>
      </c>
    </row>
    <row r="6" spans="1:8" ht="79.95" customHeight="1" x14ac:dyDescent="0.3">
      <c r="A6" s="56" t="s">
        <v>333</v>
      </c>
      <c r="B6" s="48" t="s">
        <v>334</v>
      </c>
      <c r="C6" s="48" t="s">
        <v>335</v>
      </c>
      <c r="D6" s="48" t="s">
        <v>336</v>
      </c>
      <c r="E6" s="48" t="s">
        <v>337</v>
      </c>
      <c r="F6" s="48" t="s">
        <v>338</v>
      </c>
      <c r="G6" s="48" t="s">
        <v>339</v>
      </c>
      <c r="H6" s="57" t="s">
        <v>340</v>
      </c>
    </row>
    <row r="7" spans="1:8" ht="79.95" customHeight="1" x14ac:dyDescent="0.3">
      <c r="A7" s="58" t="s">
        <v>341</v>
      </c>
      <c r="B7" s="44" t="s">
        <v>342</v>
      </c>
      <c r="C7" s="44" t="s">
        <v>343</v>
      </c>
      <c r="D7" s="44" t="s">
        <v>344</v>
      </c>
      <c r="E7" s="44" t="s">
        <v>345</v>
      </c>
      <c r="F7" s="44" t="s">
        <v>346</v>
      </c>
      <c r="G7" s="44" t="s">
        <v>347</v>
      </c>
      <c r="H7" s="55" t="s">
        <v>348</v>
      </c>
    </row>
    <row r="8" spans="1:8" ht="79.95" customHeight="1" x14ac:dyDescent="0.3">
      <c r="A8" s="59" t="s">
        <v>349</v>
      </c>
      <c r="B8" s="48" t="s">
        <v>350</v>
      </c>
      <c r="C8" s="48" t="s">
        <v>351</v>
      </c>
      <c r="D8" s="48" t="s">
        <v>352</v>
      </c>
      <c r="E8" s="48" t="s">
        <v>353</v>
      </c>
      <c r="F8" s="48" t="s">
        <v>354</v>
      </c>
      <c r="G8" s="48" t="s">
        <v>355</v>
      </c>
      <c r="H8" s="57" t="s">
        <v>356</v>
      </c>
    </row>
    <row r="9" spans="1:8" ht="79.95" customHeight="1" x14ac:dyDescent="0.3">
      <c r="A9" s="60" t="s">
        <v>357</v>
      </c>
      <c r="B9" s="44" t="s">
        <v>358</v>
      </c>
      <c r="C9" s="44" t="s">
        <v>359</v>
      </c>
      <c r="D9" s="44" t="s">
        <v>360</v>
      </c>
      <c r="E9" s="44" t="s">
        <v>361</v>
      </c>
      <c r="F9" s="44" t="s">
        <v>362</v>
      </c>
      <c r="G9" s="44" t="s">
        <v>363</v>
      </c>
      <c r="H9" s="61" t="s">
        <v>364</v>
      </c>
    </row>
    <row r="10" spans="1:8" ht="79.95" customHeight="1" x14ac:dyDescent="0.3">
      <c r="A10" s="62" t="s">
        <v>365</v>
      </c>
      <c r="B10" s="48" t="s">
        <v>366</v>
      </c>
      <c r="C10" s="48" t="s">
        <v>367</v>
      </c>
      <c r="D10" s="48" t="s">
        <v>368</v>
      </c>
      <c r="E10" s="48" t="s">
        <v>369</v>
      </c>
      <c r="F10" s="48" t="s">
        <v>370</v>
      </c>
      <c r="G10" s="48" t="s">
        <v>371</v>
      </c>
      <c r="H10" s="63" t="s">
        <v>372</v>
      </c>
    </row>
    <row r="11" spans="1:8" ht="79.95" customHeight="1" x14ac:dyDescent="0.3">
      <c r="A11" s="64" t="s">
        <v>373</v>
      </c>
      <c r="B11" s="44" t="s">
        <v>374</v>
      </c>
      <c r="C11" s="44" t="s">
        <v>375</v>
      </c>
      <c r="D11" s="44" t="s">
        <v>376</v>
      </c>
      <c r="E11" s="44" t="s">
        <v>377</v>
      </c>
      <c r="F11" s="44" t="s">
        <v>370</v>
      </c>
      <c r="G11" s="44" t="s">
        <v>378</v>
      </c>
      <c r="H11" s="55" t="s">
        <v>332</v>
      </c>
    </row>
    <row r="12" spans="1:8" ht="79.95" customHeight="1" x14ac:dyDescent="0.3">
      <c r="A12" s="65" t="s">
        <v>379</v>
      </c>
      <c r="B12" s="48" t="s">
        <v>380</v>
      </c>
      <c r="C12" s="48" t="s">
        <v>381</v>
      </c>
      <c r="D12" s="48" t="s">
        <v>382</v>
      </c>
      <c r="E12" s="48" t="s">
        <v>383</v>
      </c>
      <c r="F12" s="48" t="s">
        <v>370</v>
      </c>
      <c r="G12" s="48" t="s">
        <v>384</v>
      </c>
      <c r="H12" s="57" t="s">
        <v>340</v>
      </c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</sheetData>
  <mergeCells count="1"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J60"/>
  <sheetViews>
    <sheetView showGridLines="0" workbookViewId="0">
      <pane xSplit="2" ySplit="4" topLeftCell="C6" activePane="bottomRight" state="frozen"/>
      <selection pane="topRight"/>
      <selection pane="bottomLeft"/>
      <selection pane="bottomRight" activeCell="C3" sqref="C3"/>
    </sheetView>
  </sheetViews>
  <sheetFormatPr defaultRowHeight="14.4" x14ac:dyDescent="0.3"/>
  <cols>
    <col min="1" max="1" width="32" customWidth="1"/>
    <col min="2" max="2" width="10" customWidth="1"/>
    <col min="3" max="6" width="12" customWidth="1"/>
    <col min="7" max="7" width="18" customWidth="1"/>
    <col min="8" max="9" width="14" customWidth="1"/>
  </cols>
  <sheetData>
    <row r="1" spans="1:10" ht="18" customHeight="1" x14ac:dyDescent="0.3">
      <c r="A1" s="117" t="s">
        <v>385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18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 x14ac:dyDescent="0.3">
      <c r="A4" s="66" t="s">
        <v>386</v>
      </c>
      <c r="B4" s="66" t="s">
        <v>387</v>
      </c>
      <c r="C4" s="2" t="s">
        <v>86</v>
      </c>
      <c r="D4" s="66" t="s">
        <v>44</v>
      </c>
      <c r="E4" s="66" t="s">
        <v>50</v>
      </c>
      <c r="F4" s="66" t="s">
        <v>56</v>
      </c>
      <c r="G4" s="66" t="s">
        <v>61</v>
      </c>
      <c r="H4" s="66" t="s">
        <v>67</v>
      </c>
      <c r="I4" s="66" t="s">
        <v>78</v>
      </c>
      <c r="J4" s="1"/>
    </row>
    <row r="5" spans="1:10" ht="28.05" customHeight="1" x14ac:dyDescent="0.3">
      <c r="A5" s="67" t="s">
        <v>388</v>
      </c>
      <c r="B5" s="68">
        <v>0.15</v>
      </c>
      <c r="C5" s="69">
        <v>9</v>
      </c>
      <c r="D5" s="70">
        <v>9</v>
      </c>
      <c r="E5" s="71">
        <v>6</v>
      </c>
      <c r="F5" s="72">
        <v>2</v>
      </c>
      <c r="G5" s="70">
        <v>8</v>
      </c>
      <c r="H5" s="72">
        <v>3</v>
      </c>
      <c r="I5" s="70">
        <v>9</v>
      </c>
      <c r="J5" s="1"/>
    </row>
    <row r="6" spans="1:10" ht="28.05" customHeight="1" x14ac:dyDescent="0.3">
      <c r="A6" s="73" t="s">
        <v>389</v>
      </c>
      <c r="B6" s="74">
        <v>0.15</v>
      </c>
      <c r="C6" s="75">
        <v>9</v>
      </c>
      <c r="D6" s="76">
        <v>5</v>
      </c>
      <c r="E6" s="77">
        <v>6</v>
      </c>
      <c r="F6" s="78">
        <v>8</v>
      </c>
      <c r="G6" s="76">
        <v>4</v>
      </c>
      <c r="H6" s="76">
        <v>1</v>
      </c>
      <c r="I6" s="76">
        <v>2</v>
      </c>
      <c r="J6" s="1"/>
    </row>
    <row r="7" spans="1:10" ht="28.05" customHeight="1" x14ac:dyDescent="0.3">
      <c r="A7" s="67" t="s">
        <v>390</v>
      </c>
      <c r="B7" s="68">
        <v>0.15</v>
      </c>
      <c r="C7" s="69">
        <v>9</v>
      </c>
      <c r="D7" s="72">
        <v>3</v>
      </c>
      <c r="E7" s="71">
        <v>7</v>
      </c>
      <c r="F7" s="72">
        <v>4</v>
      </c>
      <c r="G7" s="72">
        <v>2</v>
      </c>
      <c r="H7" s="72">
        <v>5</v>
      </c>
      <c r="I7" s="72">
        <v>1</v>
      </c>
      <c r="J7" s="1"/>
    </row>
    <row r="8" spans="1:10" ht="28.05" customHeight="1" x14ac:dyDescent="0.3">
      <c r="A8" s="73" t="s">
        <v>391</v>
      </c>
      <c r="B8" s="74">
        <v>0.12</v>
      </c>
      <c r="C8" s="75">
        <v>8</v>
      </c>
      <c r="D8" s="76">
        <v>2</v>
      </c>
      <c r="E8" s="76">
        <v>4</v>
      </c>
      <c r="F8" s="78">
        <v>9</v>
      </c>
      <c r="G8" s="76">
        <v>3</v>
      </c>
      <c r="H8" s="76">
        <v>1</v>
      </c>
      <c r="I8" s="76">
        <v>1</v>
      </c>
      <c r="J8" s="1"/>
    </row>
    <row r="9" spans="1:10" ht="28.05" customHeight="1" x14ac:dyDescent="0.3">
      <c r="A9" s="67" t="s">
        <v>392</v>
      </c>
      <c r="B9" s="68">
        <v>0.1</v>
      </c>
      <c r="C9" s="69">
        <v>9</v>
      </c>
      <c r="D9" s="71">
        <v>7</v>
      </c>
      <c r="E9" s="72">
        <v>5</v>
      </c>
      <c r="F9" s="70">
        <v>10</v>
      </c>
      <c r="G9" s="71">
        <v>7</v>
      </c>
      <c r="H9" s="70">
        <v>9</v>
      </c>
      <c r="I9" s="70">
        <v>8</v>
      </c>
      <c r="J9" s="1"/>
    </row>
    <row r="10" spans="1:10" ht="28.05" customHeight="1" x14ac:dyDescent="0.3">
      <c r="A10" s="73" t="s">
        <v>393</v>
      </c>
      <c r="B10" s="74">
        <v>0.08</v>
      </c>
      <c r="C10" s="75">
        <v>8</v>
      </c>
      <c r="D10" s="76">
        <v>2</v>
      </c>
      <c r="E10" s="76">
        <v>4</v>
      </c>
      <c r="F10" s="78">
        <v>10</v>
      </c>
      <c r="G10" s="76">
        <v>3</v>
      </c>
      <c r="H10" s="76">
        <v>1</v>
      </c>
      <c r="I10" s="76">
        <v>1</v>
      </c>
      <c r="J10" s="1"/>
    </row>
    <row r="11" spans="1:10" ht="28.05" customHeight="1" x14ac:dyDescent="0.3">
      <c r="A11" s="67" t="s">
        <v>394</v>
      </c>
      <c r="B11" s="68">
        <v>0.08</v>
      </c>
      <c r="C11" s="69">
        <v>8</v>
      </c>
      <c r="D11" s="71">
        <v>6</v>
      </c>
      <c r="E11" s="71">
        <v>7</v>
      </c>
      <c r="F11" s="70">
        <v>8</v>
      </c>
      <c r="G11" s="72">
        <v>5</v>
      </c>
      <c r="H11" s="72">
        <v>4</v>
      </c>
      <c r="I11" s="72">
        <v>5</v>
      </c>
      <c r="J11" s="1"/>
    </row>
    <row r="12" spans="1:10" ht="28.05" customHeight="1" x14ac:dyDescent="0.3">
      <c r="A12" s="73" t="s">
        <v>395</v>
      </c>
      <c r="B12" s="74">
        <v>7.0000000000000007E-2</v>
      </c>
      <c r="C12" s="75">
        <v>9</v>
      </c>
      <c r="D12" s="77">
        <v>6</v>
      </c>
      <c r="E12" s="77">
        <v>6</v>
      </c>
      <c r="F12" s="77">
        <v>7</v>
      </c>
      <c r="G12" s="77">
        <v>6</v>
      </c>
      <c r="H12" s="78">
        <v>9</v>
      </c>
      <c r="I12" s="77">
        <v>6</v>
      </c>
      <c r="J12" s="1"/>
    </row>
    <row r="13" spans="1:10" ht="28.05" customHeight="1" x14ac:dyDescent="0.3">
      <c r="A13" s="67" t="s">
        <v>396</v>
      </c>
      <c r="B13" s="68">
        <v>0.05</v>
      </c>
      <c r="C13" s="69">
        <v>8</v>
      </c>
      <c r="D13" s="72">
        <v>5</v>
      </c>
      <c r="E13" s="70">
        <v>8</v>
      </c>
      <c r="F13" s="70">
        <v>9</v>
      </c>
      <c r="G13" s="72">
        <v>5</v>
      </c>
      <c r="H13" s="72">
        <v>2</v>
      </c>
      <c r="I13" s="72">
        <v>3</v>
      </c>
      <c r="J13" s="1"/>
    </row>
    <row r="14" spans="1:10" ht="28.05" customHeight="1" x14ac:dyDescent="0.3">
      <c r="A14" s="73" t="s">
        <v>397</v>
      </c>
      <c r="B14" s="74">
        <v>0.05</v>
      </c>
      <c r="C14" s="79">
        <v>6</v>
      </c>
      <c r="D14" s="76">
        <v>2</v>
      </c>
      <c r="E14" s="76">
        <v>3</v>
      </c>
      <c r="F14" s="76">
        <v>3</v>
      </c>
      <c r="G14" s="76">
        <v>2</v>
      </c>
      <c r="H14" s="76">
        <v>1</v>
      </c>
      <c r="I14" s="76">
        <v>1</v>
      </c>
      <c r="J14" s="1"/>
    </row>
    <row r="15" spans="1:10" ht="36" customHeight="1" x14ac:dyDescent="0.3">
      <c r="A15" s="80" t="s">
        <v>398</v>
      </c>
      <c r="B15" s="81" t="s">
        <v>399</v>
      </c>
      <c r="C15" s="82">
        <v>8.52</v>
      </c>
      <c r="D15" s="83">
        <v>4.9000000000000004</v>
      </c>
      <c r="E15" s="83">
        <v>5.68</v>
      </c>
      <c r="F15" s="84">
        <v>6.71</v>
      </c>
      <c r="G15" s="83">
        <v>4.57</v>
      </c>
      <c r="H15" s="83">
        <v>3.55</v>
      </c>
      <c r="I15" s="83">
        <v>3.82</v>
      </c>
      <c r="J15" s="1"/>
    </row>
    <row r="16" spans="1:10" ht="30" customHeight="1" x14ac:dyDescent="0.3">
      <c r="A16" s="85" t="s">
        <v>400</v>
      </c>
      <c r="B16" s="86"/>
      <c r="C16" s="75" t="s">
        <v>401</v>
      </c>
      <c r="D16" s="87" t="s">
        <v>402</v>
      </c>
      <c r="E16" s="79" t="s">
        <v>403</v>
      </c>
      <c r="F16" s="79" t="s">
        <v>404</v>
      </c>
      <c r="G16" s="87" t="s">
        <v>405</v>
      </c>
      <c r="H16" s="87" t="s">
        <v>406</v>
      </c>
      <c r="I16" s="87" t="s">
        <v>407</v>
      </c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5.95" customHeight="1" x14ac:dyDescent="0.3">
      <c r="A18" s="119" t="s">
        <v>408</v>
      </c>
      <c r="B18" s="96"/>
      <c r="C18" s="96"/>
      <c r="D18" s="96"/>
      <c r="E18" s="96"/>
      <c r="F18" s="96"/>
      <c r="G18" s="96"/>
      <c r="H18" s="96"/>
      <c r="I18" s="96"/>
      <c r="J18" s="1"/>
    </row>
    <row r="19" spans="1:10" ht="24" customHeight="1" x14ac:dyDescent="0.3">
      <c r="A19" s="118" t="s">
        <v>409</v>
      </c>
      <c r="B19" s="96"/>
      <c r="C19" s="96"/>
      <c r="D19" s="96"/>
      <c r="E19" s="96"/>
      <c r="F19" s="96"/>
      <c r="G19" s="96"/>
      <c r="H19" s="96"/>
      <c r="I19" s="96"/>
      <c r="J19" s="1"/>
    </row>
    <row r="20" spans="1:10" ht="24" customHeight="1" x14ac:dyDescent="0.3">
      <c r="A20" s="120" t="s">
        <v>410</v>
      </c>
      <c r="B20" s="96"/>
      <c r="C20" s="96"/>
      <c r="D20" s="96"/>
      <c r="E20" s="96"/>
      <c r="F20" s="96"/>
      <c r="G20" s="96"/>
      <c r="H20" s="96"/>
      <c r="I20" s="96"/>
      <c r="J20" s="1"/>
    </row>
    <row r="21" spans="1:10" ht="24" customHeight="1" x14ac:dyDescent="0.3">
      <c r="A21" s="118" t="s">
        <v>411</v>
      </c>
      <c r="B21" s="96"/>
      <c r="C21" s="96"/>
      <c r="D21" s="96"/>
      <c r="E21" s="96"/>
      <c r="F21" s="96"/>
      <c r="G21" s="96"/>
      <c r="H21" s="96"/>
      <c r="I21" s="96"/>
      <c r="J21" s="1"/>
    </row>
    <row r="22" spans="1:10" ht="24" customHeight="1" x14ac:dyDescent="0.3">
      <c r="A22" s="120" t="s">
        <v>412</v>
      </c>
      <c r="B22" s="96"/>
      <c r="C22" s="96"/>
      <c r="D22" s="96"/>
      <c r="E22" s="96"/>
      <c r="F22" s="96"/>
      <c r="G22" s="96"/>
      <c r="H22" s="96"/>
      <c r="I22" s="96"/>
      <c r="J22" s="1"/>
    </row>
    <row r="23" spans="1:10" ht="24" customHeight="1" x14ac:dyDescent="0.3">
      <c r="A23" s="118" t="s">
        <v>413</v>
      </c>
      <c r="B23" s="96"/>
      <c r="C23" s="96"/>
      <c r="D23" s="96"/>
      <c r="E23" s="96"/>
      <c r="F23" s="96"/>
      <c r="G23" s="96"/>
      <c r="H23" s="96"/>
      <c r="I23" s="96"/>
      <c r="J23" s="1"/>
    </row>
    <row r="24" spans="1:10" ht="24" customHeight="1" x14ac:dyDescent="0.3">
      <c r="A24" s="120" t="s">
        <v>414</v>
      </c>
      <c r="B24" s="96"/>
      <c r="C24" s="96"/>
      <c r="D24" s="96"/>
      <c r="E24" s="96"/>
      <c r="F24" s="96"/>
      <c r="G24" s="96"/>
      <c r="H24" s="96"/>
      <c r="I24" s="96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8">
    <mergeCell ref="A1:J2"/>
    <mergeCell ref="A19:I19"/>
    <mergeCell ref="A23:I23"/>
    <mergeCell ref="A18:I18"/>
    <mergeCell ref="A24:I24"/>
    <mergeCell ref="A22:I22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Overview</vt:lpstr>
      <vt:lpstr>⚔️ Competitive Analysis</vt:lpstr>
      <vt:lpstr>🔴 Pain Points</vt:lpstr>
      <vt:lpstr>👥 Target Users</vt:lpstr>
      <vt:lpstr>✨ Features Deep-Dive</vt:lpstr>
      <vt:lpstr>📋 Summary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Mohite</cp:lastModifiedBy>
  <dcterms:created xsi:type="dcterms:W3CDTF">2026-04-08T16:57:48Z</dcterms:created>
  <dcterms:modified xsi:type="dcterms:W3CDTF">2026-04-09T11:02:57Z</dcterms:modified>
</cp:coreProperties>
</file>